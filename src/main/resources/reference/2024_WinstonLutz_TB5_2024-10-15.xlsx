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adonc_Shared\shared\Physics\Clinical Physics\QA\Procedures\2024_qa_procedure_refactor\Standardization\013_Winston Lutz MQA\"/>
    </mc:Choice>
  </mc:AlternateContent>
  <xr:revisionPtr revIDLastSave="0" documentId="8_{AD2C5E78-D8E5-40D6-82C0-33BA357DF66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Analysis!$L$14:$O$14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drv" localSheetId="3" hidden="1">1</definedName>
    <definedName name="solver_drv" localSheetId="4" hidden="1">1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st" localSheetId="3" hidden="1">1</definedName>
    <definedName name="solver_est" localSheetId="4" hidden="1">1</definedName>
    <definedName name="solver_itr" localSheetId="3" hidden="1">2147483647</definedName>
    <definedName name="solver_itr" localSheetId="4" hidden="1">2147483647</definedName>
    <definedName name="solver_lhs1" localSheetId="3" hidden="1">Analysis!$L$14</definedName>
    <definedName name="solver_lhs1" localSheetId="4" hidden="1">Collimator!$H$4</definedName>
    <definedName name="solver_lhs2" localSheetId="3" hidden="1">Analysis!$L$14</definedName>
    <definedName name="solver_lhs2" localSheetId="4" hidden="1">Collimator!$H$4</definedName>
    <definedName name="solver_lhs3" localSheetId="3" hidden="1">Analysis!$M$14</definedName>
    <definedName name="solver_lhs3" localSheetId="4" hidden="1">Collimator!$I$4</definedName>
    <definedName name="solver_lhs4" localSheetId="3" hidden="1">Analysis!$M$14</definedName>
    <definedName name="solver_lhs4" localSheetId="4" hidden="1">Collimator!$I$4</definedName>
    <definedName name="solver_lhs5" localSheetId="3" hidden="1">Analysis!$N$14</definedName>
    <definedName name="solver_lhs5" localSheetId="4" hidden="1">Collimator!#REF!</definedName>
    <definedName name="solver_lhs6" localSheetId="3" hidden="1">Analysis!$N$14</definedName>
    <definedName name="solver_lhs6" localSheetId="4" hidden="1">Collimator!#REF!</definedName>
    <definedName name="solver_lhs7" localSheetId="3" hidden="1">Analysis!$O$14</definedName>
    <definedName name="solver_lhs7" localSheetId="4" hidden="1">Collimator!#REF!</definedName>
    <definedName name="solver_lhs8" localSheetId="3" hidden="1">Analysis!$O$14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ni" localSheetId="3" hidden="1">30</definedName>
    <definedName name="solver_mni" localSheetId="4" hidden="1">30</definedName>
    <definedName name="solver_mrt" localSheetId="3" hidden="1">0.075</definedName>
    <definedName name="solver_mrt" localSheetId="4" hidden="1">0.075</definedName>
    <definedName name="solver_msl" localSheetId="3" hidden="1">2</definedName>
    <definedName name="solver_msl" localSheetId="4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wt" localSheetId="3" hidden="1">1</definedName>
    <definedName name="solver_nwt" localSheetId="4" hidden="1">1</definedName>
    <definedName name="solver_opt" localSheetId="3" hidden="1">Analysis!$R$12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pre" localSheetId="3" hidden="1">0.000001</definedName>
    <definedName name="solver_pre" localSheetId="4" hidden="1">0.000001</definedName>
    <definedName name="solver_rbv" localSheetId="3" hidden="1">1</definedName>
    <definedName name="solver_rbv" localSheetId="4" hidden="1">1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sd" localSheetId="3" hidden="1">0</definedName>
    <definedName name="solver_rsd" localSheetId="4" hidden="1">0</definedName>
    <definedName name="solver_scl" localSheetId="3" hidden="1">1</definedName>
    <definedName name="solver_scl" localSheetId="4" hidden="1">1</definedName>
    <definedName name="solver_sho" localSheetId="3" hidden="1">2</definedName>
    <definedName name="solver_sho" localSheetId="4" hidden="1">2</definedName>
    <definedName name="solver_ssz" localSheetId="3" hidden="1">100</definedName>
    <definedName name="solver_ssz" localSheetId="4" hidden="1">100</definedName>
    <definedName name="solver_tim" localSheetId="3" hidden="1">2147483647</definedName>
    <definedName name="solver_tim" localSheetId="4" hidden="1">2147483647</definedName>
    <definedName name="solver_tol" localSheetId="3" hidden="1">0.01</definedName>
    <definedName name="solver_tol" localSheetId="4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C3" i="2"/>
  <c r="V3" i="3" l="1"/>
  <c r="V5" i="3"/>
  <c r="X5" i="3"/>
  <c r="A22" i="3"/>
  <c r="A23" i="3"/>
  <c r="B23" i="3"/>
  <c r="C23" i="3"/>
  <c r="A24" i="3"/>
  <c r="B24" i="3"/>
  <c r="C24" i="3"/>
  <c r="C27" i="3" s="1"/>
  <c r="X3" i="3" s="1"/>
  <c r="A27" i="3"/>
  <c r="B27" i="3"/>
  <c r="W3" i="3" s="1"/>
  <c r="G7" i="8"/>
  <c r="F7" i="8"/>
  <c r="A4" i="4"/>
  <c r="I1" i="4" l="1"/>
  <c r="B21" i="1" l="1"/>
  <c r="A21" i="1"/>
  <c r="C21" i="1" l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V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D20" i="2" l="1" a="1"/>
  <c r="D20" i="2" l="1"/>
  <c r="A3" i="3" s="1"/>
  <c r="C4" i="3"/>
  <c r="C10" i="3"/>
  <c r="C15" i="3"/>
  <c r="A18" i="3"/>
  <c r="C5" i="8"/>
  <c r="B5" i="3"/>
  <c r="C18" i="3"/>
  <c r="C7" i="3"/>
  <c r="C11" i="3"/>
  <c r="A19" i="3"/>
  <c r="A8" i="3"/>
  <c r="A14" i="3"/>
  <c r="B19" i="3"/>
  <c r="B8" i="3"/>
  <c r="C19" i="3"/>
  <c r="A6" i="3"/>
  <c r="C14" i="3"/>
  <c r="A5" i="3"/>
  <c r="A7" i="3"/>
  <c r="A11" i="3"/>
  <c r="B18" i="3"/>
  <c r="B5" i="8"/>
  <c r="B7" i="3"/>
  <c r="B11" i="3"/>
  <c r="A5" i="8"/>
  <c r="C5" i="3"/>
  <c r="A16" i="3"/>
  <c r="C4" i="8"/>
  <c r="B16" i="3"/>
  <c r="B4" i="8"/>
  <c r="B3" i="3"/>
  <c r="B14" i="3"/>
  <c r="C16" i="3"/>
  <c r="A4" i="8"/>
  <c r="C8" i="3"/>
  <c r="B6" i="3"/>
  <c r="A9" i="3"/>
  <c r="A20" i="3"/>
  <c r="C6" i="3"/>
  <c r="B9" i="3"/>
  <c r="B20" i="3"/>
  <c r="C9" i="3"/>
  <c r="A17" i="3"/>
  <c r="C20" i="3"/>
  <c r="C6" i="8"/>
  <c r="A4" i="3"/>
  <c r="A10" i="3"/>
  <c r="A15" i="3"/>
  <c r="B17" i="3"/>
  <c r="B6" i="8"/>
  <c r="B4" i="3"/>
  <c r="B10" i="3"/>
  <c r="B15" i="3"/>
  <c r="C17" i="3"/>
  <c r="A6" i="8"/>
  <c r="D15" i="3" l="1"/>
  <c r="F15" i="3" s="1"/>
  <c r="E15" i="3"/>
  <c r="G15" i="3" s="1"/>
  <c r="D14" i="3"/>
  <c r="F14" i="3" s="1"/>
  <c r="E14" i="3"/>
  <c r="G14" i="3" s="1"/>
  <c r="D3" i="3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E19" i="3"/>
  <c r="G19" i="3" s="1"/>
  <c r="D19" i="3"/>
  <c r="M16" i="3"/>
  <c r="L16" i="3"/>
  <c r="L20" i="3"/>
  <c r="M20" i="3"/>
  <c r="D11" i="3"/>
  <c r="G11" i="3" s="1"/>
  <c r="E11" i="3"/>
  <c r="H11" i="3" s="1"/>
  <c r="E6" i="8"/>
  <c r="G6" i="8" s="1"/>
  <c r="K6" i="8" s="1"/>
  <c r="D6" i="8"/>
  <c r="F6" i="8" s="1"/>
  <c r="J6" i="8" s="1"/>
  <c r="D17" i="3"/>
  <c r="F17" i="3" s="1"/>
  <c r="E17" i="3"/>
  <c r="G17" i="3" s="1"/>
  <c r="D7" i="3"/>
  <c r="F7" i="3" s="1"/>
  <c r="E7" i="3"/>
  <c r="H7" i="3" s="1"/>
  <c r="L18" i="3"/>
  <c r="M18" i="3"/>
  <c r="L17" i="3"/>
  <c r="M17" i="3"/>
  <c r="D5" i="3"/>
  <c r="G5" i="3" s="1"/>
  <c r="E5" i="3"/>
  <c r="H5" i="3" s="1"/>
  <c r="D6" i="3"/>
  <c r="G6" i="3" s="1"/>
  <c r="E6" i="3"/>
  <c r="H6" i="3" s="1"/>
  <c r="D18" i="3"/>
  <c r="F18" i="3" s="1"/>
  <c r="E18" i="3"/>
  <c r="G18" i="3" s="1"/>
  <c r="D16" i="3"/>
  <c r="F16" i="3" s="1"/>
  <c r="E16" i="3"/>
  <c r="G16" i="3" s="1"/>
  <c r="M19" i="3"/>
  <c r="L19" i="3"/>
  <c r="M15" i="3"/>
  <c r="L15" i="3"/>
  <c r="D20" i="3"/>
  <c r="F20" i="3" s="1"/>
  <c r="E20" i="3"/>
  <c r="G20" i="3" s="1"/>
  <c r="E9" i="3"/>
  <c r="H9" i="3" s="1"/>
  <c r="D9" i="3"/>
  <c r="F9" i="3" s="1"/>
  <c r="E5" i="8"/>
  <c r="G5" i="8" s="1"/>
  <c r="K5" i="8" s="1"/>
  <c r="D5" i="8"/>
  <c r="L6" i="8" l="1"/>
  <c r="J5" i="3"/>
  <c r="J10" i="3"/>
  <c r="Q11" i="3"/>
  <c r="I8" i="3"/>
  <c r="Q9" i="3" s="1"/>
  <c r="Q10" i="3"/>
  <c r="K3" i="3"/>
  <c r="I19" i="3"/>
  <c r="K19" i="3" s="1"/>
  <c r="Q19" i="3" s="1"/>
  <c r="I17" i="3"/>
  <c r="K17" i="3" s="1"/>
  <c r="Q17" i="3" s="1"/>
  <c r="I20" i="3"/>
  <c r="K20" i="3" s="1"/>
  <c r="Q20" i="3" s="1"/>
  <c r="I14" i="3"/>
  <c r="K14" i="3" s="1"/>
  <c r="Q14" i="3" s="1"/>
  <c r="I18" i="3"/>
  <c r="K18" i="3" s="1"/>
  <c r="Q18" i="3" s="1"/>
  <c r="I16" i="3"/>
  <c r="K16" i="3" s="1"/>
  <c r="Q16" i="3" s="1"/>
  <c r="H18" i="3"/>
  <c r="J18" i="3" s="1"/>
  <c r="P18" i="3" s="1"/>
  <c r="H17" i="3"/>
  <c r="J17" i="3" s="1"/>
  <c r="P17" i="3" s="1"/>
  <c r="H16" i="3"/>
  <c r="J16" i="3" s="1"/>
  <c r="P16" i="3" s="1"/>
  <c r="H20" i="3"/>
  <c r="J20" i="3" s="1"/>
  <c r="P20" i="3" s="1"/>
  <c r="H14" i="3"/>
  <c r="J14" i="3" s="1"/>
  <c r="H15" i="3"/>
  <c r="J15" i="3" s="1"/>
  <c r="P15" i="3" s="1"/>
  <c r="K10" i="3"/>
  <c r="R10" i="3" s="1"/>
  <c r="I3" i="3"/>
  <c r="Q4" i="3" s="1"/>
  <c r="F19" i="3"/>
  <c r="H19" i="3" s="1"/>
  <c r="J19" i="3" s="1"/>
  <c r="P19" i="3" s="1"/>
  <c r="F5" i="8"/>
  <c r="J5" i="8" s="1"/>
  <c r="L5" i="8" s="1"/>
  <c r="I15" i="3"/>
  <c r="K15" i="3" s="1"/>
  <c r="Q15" i="3" s="1"/>
  <c r="L4" i="8"/>
  <c r="K5" i="3"/>
  <c r="R6" i="3" s="1"/>
  <c r="K8" i="3"/>
  <c r="R9" i="3" s="1"/>
  <c r="R8" i="3"/>
  <c r="Q8" i="3" l="1"/>
  <c r="R16" i="3"/>
  <c r="R11" i="3"/>
  <c r="R20" i="3"/>
  <c r="Q3" i="3"/>
  <c r="R19" i="3"/>
  <c r="R7" i="3"/>
  <c r="R17" i="3"/>
  <c r="Q7" i="3"/>
  <c r="N3" i="3"/>
  <c r="X4" i="3" s="1"/>
  <c r="O3" i="3"/>
  <c r="O7" i="3"/>
  <c r="R18" i="3"/>
  <c r="R5" i="3"/>
  <c r="M3" i="3"/>
  <c r="W4" i="3" s="1"/>
  <c r="N7" i="3"/>
  <c r="R15" i="3"/>
  <c r="R4" i="3"/>
  <c r="T4" i="3" s="1"/>
  <c r="K12" i="3"/>
  <c r="P14" i="3"/>
  <c r="R14" i="3" s="1"/>
  <c r="R3" i="3"/>
  <c r="L3" i="3"/>
  <c r="M7" i="3"/>
  <c r="L2" i="8"/>
  <c r="C12" i="6" s="1"/>
  <c r="Q6" i="3"/>
  <c r="S4" i="3" s="1"/>
  <c r="Q5" i="3"/>
  <c r="S3" i="3" l="1"/>
  <c r="S2" i="3" s="1"/>
  <c r="O8" i="3"/>
  <c r="C11" i="6" s="1"/>
  <c r="P3" i="3"/>
  <c r="V4" i="3"/>
  <c r="C7" i="6"/>
  <c r="H4" i="4"/>
  <c r="T3" i="3"/>
  <c r="T2" i="3" s="1"/>
  <c r="T1" i="3" s="1"/>
  <c r="E4" i="4"/>
  <c r="C6" i="6"/>
  <c r="G4" i="4"/>
  <c r="C4" i="6"/>
  <c r="R12" i="3"/>
  <c r="C3" i="6"/>
  <c r="D4" i="4"/>
  <c r="K4" i="4" l="1"/>
  <c r="C10" i="6"/>
  <c r="J4" i="4"/>
  <c r="C9" i="6"/>
  <c r="F4" i="4"/>
  <c r="C5" i="6"/>
  <c r="C2" i="6"/>
  <c r="C4" i="4"/>
  <c r="C8" i="6"/>
  <c r="I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<sst xmlns="http://schemas.openxmlformats.org/spreadsheetml/2006/main" count="266" uniqueCount="165">
  <si>
    <t>Winston-Lutz Field Data</t>
  </si>
  <si>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</si>
  <si>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</si>
  <si>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</si>
  <si>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</si>
  <si>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</si>
  <si>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</si>
  <si>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</si>
  <si>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</si>
  <si>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</si>
  <si>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</si>
  <si>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</si>
  <si>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</si>
  <si>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</si>
  <si>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</si>
  <si>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</si>
  <si>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</si>
  <si>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</si>
  <si>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</si>
  <si>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</si>
  <si>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</si>
  <si>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</si>
  <si>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</si>
  <si>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</si>
  <si>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Table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</si>
  <si>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</si>
  <si>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</si>
  <si>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</si>
  <si>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</si>
  <si>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</si>
  <si>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</si>
  <si>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</si>
  <si>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</si>
  <si>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</si>
  <si>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</si>
  <si>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</si>
  <si>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</si>
  <si>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</si>
  <si>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</si>
  <si>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</si>
  <si>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</si>
  <si>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</si>
  <si>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BB-X</t>
  </si>
  <si>
    <t>BB-Z</t>
  </si>
  <si>
    <t>Table-X</t>
  </si>
  <si>
    <t>Table-Z</t>
  </si>
  <si>
    <t>BB-X'</t>
  </si>
  <si>
    <t>BB-Z'</t>
  </si>
  <si>
    <t>dX</t>
  </si>
  <si>
    <t>dZ</t>
  </si>
  <si>
    <t>BB-X"</t>
  </si>
  <si>
    <t>BB-Z"</t>
  </si>
  <si>
    <t>BB-R"^2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</si>
  <si>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</si>
  <si>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</si>
  <si>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</si>
  <si>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</si>
  <si>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</si>
  <si>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</si>
  <si>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</si>
  <si>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</si>
  <si>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</si>
  <si>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</si>
  <si>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</si>
  <si>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</si>
  <si>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</si>
  <si>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</si>
  <si>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</si>
  <si>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</si>
  <si>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</si>
  <si>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</si>
  <si>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</si>
  <si>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</si>
  <si>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</si>
  <si>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</si>
  <si>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</si>
  <si>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</si>
  <si>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</si>
  <si>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</si>
  <si>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</si>
  <si>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-&gt;</t>
  </si>
  <si>
    <t>Coordinates in rotated system</t>
  </si>
  <si>
    <t>BB coordinates after minimization</t>
  </si>
  <si>
    <t>sum of squars x^2 +y^2 for each table angle</t>
  </si>
  <si>
    <t>Max square of BB displacement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</si>
  <si>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</si>
  <si>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</si>
  <si>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</si>
  <si>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</si>
  <si>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</si>
  <si>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</si>
  <si>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</si>
  <si>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</si>
  <si>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</si>
  <si>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</si>
  <si>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</si>
  <si>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</si>
  <si>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</si>
  <si>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Passed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</si>
  <si>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</si>
  <si>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</si>
  <si>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</si>
  <si>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</si>
  <si>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</si>
  <si>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</si>
  <si>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Table - Gantry Iso X (mm)</t>
  </si>
  <si>
    <t>Table - Gantry Iso Z (mm)</t>
  </si>
  <si>
    <t>Gantry Flex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</si>
  <si>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</si>
  <si>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</si>
  <si>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</si>
  <si>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</si>
  <si>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</si>
  <si>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</si>
  <si>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</si>
  <si>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</si>
  <si>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</si>
  <si>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</si>
  <si>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Solve for smallest max (Couch Isocentricity)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</si>
  <si>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</si>
  <si>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</si>
  <si>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</si>
  <si>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</si>
  <si>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</si>
  <si>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</si>
  <si>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Data Date: 2024-10-15 17:47:43</t>
  </si>
  <si>
    <t>Analysis Date: 2024-10-15 17:55:17</t>
  </si>
  <si>
    <t>Patient Name</t>
  </si>
  <si>
    <t>TB5</t>
  </si>
  <si>
    <t>G180 C000 0:00</t>
  </si>
  <si>
    <t>QASRSWL2</t>
  </si>
  <si>
    <t>$QASRS-TX5^Winston-Lutz</t>
  </si>
  <si>
    <t>1.2.246.352.62.1.5501163403191641537.5185906158874397588</t>
  </si>
  <si>
    <t>1.2.246.352.62.2.5591855550814472668.16651016134416038585</t>
  </si>
  <si>
    <t>G180 C090 0:21</t>
  </si>
  <si>
    <t>1.2.246.352.62.1.5022932505202810736.18176117736826310311</t>
  </si>
  <si>
    <t>G090 C090 0:46</t>
  </si>
  <si>
    <t>1.2.246.352.62.1.5215168229937650413.11559825400615409804</t>
  </si>
  <si>
    <t>G000 C090 1:11</t>
  </si>
  <si>
    <t>1.2.246.352.62.1.5122434876230622122.12908282298789640859</t>
  </si>
  <si>
    <t>G270 C090 1:35</t>
  </si>
  <si>
    <t>1.2.246.352.62.1.5151400910807266628.984014451812874905</t>
  </si>
  <si>
    <t>G270 C270 1:56</t>
  </si>
  <si>
    <t>1.2.246.352.62.1.5594146986960155985.3615940627330091690</t>
  </si>
  <si>
    <t>G000 C270 2:28</t>
  </si>
  <si>
    <t>1.2.246.352.62.1.4653000383632170084.12792974839094954936</t>
  </si>
  <si>
    <t>G090 C270 2:58</t>
  </si>
  <si>
    <t>1.2.246.352.62.1.5466850920194951903.16537438642280104085</t>
  </si>
  <si>
    <t>G180 C270 3:24</t>
  </si>
  <si>
    <t>1.2.246.352.62.1.5479858720157641572.17315255651440607106</t>
  </si>
  <si>
    <t>G180 C270 4:15</t>
  </si>
  <si>
    <t>1.2.246.352.62.1.4796884726310680617.10944648517499340976</t>
  </si>
  <si>
    <t>G180 C270 4:46</t>
  </si>
  <si>
    <t>1.2.246.352.62.1.5567567661898746564.1679050013640922288</t>
  </si>
  <si>
    <t>G180 C270 5:07</t>
  </si>
  <si>
    <t>1.2.246.352.62.1.5132644864718072394.9831637297503514016</t>
  </si>
  <si>
    <t>G180 C270 5:41</t>
  </si>
  <si>
    <t>1.2.246.352.62.1.5466391627421975314.2943708566449341357</t>
  </si>
  <si>
    <t>G180 C270 6:01</t>
  </si>
  <si>
    <t>1.2.246.352.62.1.5138739043602403820.4139278402537124792</t>
  </si>
  <si>
    <t>G180 C270 6:26</t>
  </si>
  <si>
    <t>1.2.246.352.62.1.5744035648799867708.5834260051927852479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</si>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</sst>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0" fontId="0" fillId="4" borderId="0" xfId="0" quotePrefix="1" applyFill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2" fontId="0" fillId="2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-2.5000000000000022E-2</c:v>
                </c:pt>
                <c:pt idx="1">
                  <c:v>2.4999999999999967E-2</c:v>
                </c:pt>
                <c:pt idx="2">
                  <c:v>-7.5000000000000011E-2</c:v>
                </c:pt>
                <c:pt idx="3">
                  <c:v>7.5000000000000011E-2</c:v>
                </c:pt>
                <c:pt idx="4">
                  <c:v>6.5000000000000002E-2</c:v>
                </c:pt>
                <c:pt idx="5">
                  <c:v>-9.4999999999999973E-2</c:v>
                </c:pt>
                <c:pt idx="6">
                  <c:v>9.5000000000000001E-2</c:v>
                </c:pt>
                <c:pt idx="7">
                  <c:v>-7.4999999999999997E-2</c:v>
                </c:pt>
                <c:pt idx="8">
                  <c:v>7.4999999999999997E-2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-0.12</c:v>
                </c:pt>
                <c:pt idx="1">
                  <c:v>0.12</c:v>
                </c:pt>
                <c:pt idx="2">
                  <c:v>-0.125</c:v>
                </c:pt>
                <c:pt idx="3">
                  <c:v>0.125</c:v>
                </c:pt>
                <c:pt idx="4">
                  <c:v>-5.9999999999999984E-2</c:v>
                </c:pt>
                <c:pt idx="5">
                  <c:v>-0.11999999999999998</c:v>
                </c:pt>
                <c:pt idx="6">
                  <c:v>0.12</c:v>
                </c:pt>
                <c:pt idx="7">
                  <c:v>-0.14000000000000001</c:v>
                </c:pt>
                <c:pt idx="8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</a:t>
            </a:r>
            <a:r>
              <a:rPr lang="en-US" baseline="0"/>
              <a:t> Wobble about Table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Analysis!$K$13</c:f>
              <c:strCache>
                <c:ptCount val="1"/>
                <c:pt idx="0">
                  <c:v>BB-Z'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Analysis!$P$14:$P$20</c:f>
              <c:numCache>
                <c:formatCode>0.00</c:formatCode>
                <c:ptCount val="7"/>
                <c:pt idx="0">
                  <c:v>-0.14497862429627043</c:v>
                </c:pt>
                <c:pt idx="1">
                  <c:v>-0.19662064000401411</c:v>
                </c:pt>
                <c:pt idx="2">
                  <c:v>-3.1939021116366206E-2</c:v>
                </c:pt>
                <c:pt idx="3">
                  <c:v>-0.19558566325509849</c:v>
                </c:pt>
                <c:pt idx="4">
                  <c:v>-6.6865527069702169E-2</c:v>
                </c:pt>
                <c:pt idx="5">
                  <c:v>0.13073480165769563</c:v>
                </c:pt>
                <c:pt idx="6">
                  <c:v>0.16273942808868386</c:v>
                </c:pt>
              </c:numCache>
            </c:numRef>
          </c:xVal>
          <c:yVal>
            <c:numRef>
              <c:f>Analysis!$Q$14:$Q$20</c:f>
              <c:numCache>
                <c:formatCode>0.00</c:formatCode>
                <c:ptCount val="7"/>
                <c:pt idx="0">
                  <c:v>1.5787794780906805E-2</c:v>
                </c:pt>
                <c:pt idx="1">
                  <c:v>4.8187466053509209E-2</c:v>
                </c:pt>
                <c:pt idx="2">
                  <c:v>-5.3817160377479356E-2</c:v>
                </c:pt>
                <c:pt idx="3">
                  <c:v>-8.6099107992524848E-2</c:v>
                </c:pt>
                <c:pt idx="4">
                  <c:v>-0.20360516626026515</c:v>
                </c:pt>
                <c:pt idx="5">
                  <c:v>7.4752818031991186E-2</c:v>
                </c:pt>
                <c:pt idx="6">
                  <c:v>0.13943443691963908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E-426E-8FA0-A8F918C9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3408"/>
        <c:axId val="764257344"/>
      </c:scatterChart>
      <c:valAx>
        <c:axId val="764253408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7344"/>
        <c:crosses val="autoZero"/>
        <c:crossBetween val="midCat"/>
      </c:valAx>
      <c:valAx>
        <c:axId val="764257344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0</xdr:rowOff>
    </xdr:from>
    <xdr:to>
      <xdr:col>3</xdr:col>
      <xdr:colOff>409575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4</xdr:row>
      <xdr:rowOff>180974</xdr:rowOff>
    </xdr:from>
    <xdr:to>
      <xdr:col>7</xdr:col>
      <xdr:colOff>457200</xdr:colOff>
      <xdr:row>27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28A91-DAB6-481C-9572-A7F8D210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C12"/>
  <sheetViews>
    <sheetView tabSelected="1" workbookViewId="0">
      <selection activeCell="L12" sqref="L12"/>
    </sheetView>
  </sheetViews>
  <sheetFormatPr defaultRowHeight="14.4" x14ac:dyDescent="0.3"/>
  <cols>
    <col min="2" max="2" width="21.5546875" customWidth="1"/>
    <col min="3" max="3" width="8.88671875" style="22"/>
  </cols>
  <sheetData>
    <row r="2" spans="2:3" x14ac:dyDescent="0.3">
      <c r="B2" s="33" t="s">
        <v>102</v>
      </c>
      <c r="C2" s="34">
        <f>Analysis!V3-Analysis!V$4</f>
        <v>-0.33</v>
      </c>
    </row>
    <row r="3" spans="2:3" x14ac:dyDescent="0.3">
      <c r="B3" s="33" t="s">
        <v>103</v>
      </c>
      <c r="C3" s="34">
        <f>Analysis!W3-Analysis!W$4</f>
        <v>6.5000000000000002E-2</v>
      </c>
    </row>
    <row r="4" spans="2:3" x14ac:dyDescent="0.3">
      <c r="B4" s="33" t="s">
        <v>104</v>
      </c>
      <c r="C4" s="34">
        <f>Analysis!X3-Analysis!X$4</f>
        <v>-6.6250000000000003E-2</v>
      </c>
    </row>
    <row r="5" spans="2:3" x14ac:dyDescent="0.3">
      <c r="B5" s="33" t="s">
        <v>105</v>
      </c>
      <c r="C5" s="34">
        <f>Analysis!V5-Analysis!V$4</f>
        <v>1.6225595162400297E-2</v>
      </c>
    </row>
    <row r="6" spans="2:3" x14ac:dyDescent="0.3">
      <c r="B6" s="33" t="s">
        <v>106</v>
      </c>
      <c r="C6" s="34">
        <f>Analysis!X5-Analysis!X$4</f>
        <v>0.26860213712639502</v>
      </c>
    </row>
    <row r="7" spans="2:3" x14ac:dyDescent="0.3">
      <c r="B7" s="33" t="s">
        <v>107</v>
      </c>
      <c r="C7" s="34">
        <f>Analysis!O3</f>
        <v>0.49</v>
      </c>
    </row>
    <row r="8" spans="2:3" x14ac:dyDescent="0.3">
      <c r="B8" s="33" t="s">
        <v>108</v>
      </c>
      <c r="C8" s="34">
        <f>Analysis!P3</f>
        <v>5.7500000000000009E-2</v>
      </c>
    </row>
    <row r="9" spans="2:3" x14ac:dyDescent="0.3">
      <c r="B9" s="33" t="s">
        <v>109</v>
      </c>
      <c r="C9" s="34">
        <f>Analysis!T1</f>
        <v>-0.2525</v>
      </c>
    </row>
    <row r="10" spans="2:3" x14ac:dyDescent="0.3">
      <c r="B10" s="33" t="s">
        <v>111</v>
      </c>
      <c r="C10" s="34">
        <f>SQRT(Analysis!R12)</f>
        <v>0.21430371824522484</v>
      </c>
    </row>
    <row r="11" spans="2:3" x14ac:dyDescent="0.3">
      <c r="B11" s="33" t="s">
        <v>112</v>
      </c>
      <c r="C11" s="34">
        <f>Analysis!O8</f>
        <v>0.25932604959779876</v>
      </c>
    </row>
    <row r="12" spans="2:3" x14ac:dyDescent="0.3">
      <c r="B12" s="33" t="s">
        <v>113</v>
      </c>
      <c r="C12" s="34">
        <f>Collimator!L2</f>
        <v>0.15305244126648201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C10" sqref="C10"/>
    </sheetView>
  </sheetViews>
  <sheetFormatPr defaultRowHeight="14.4" x14ac:dyDescent="0.3"/>
  <cols>
    <col min="1" max="1" width="22.44140625" bestFit="1" customWidth="1"/>
    <col min="2" max="2" width="32.77734375" bestFit="1" customWidth="1"/>
    <col min="3" max="3" width="27.44140625" bestFit="1" customWidth="1"/>
    <col min="4" max="5" width="12" bestFit="1" customWidth="1"/>
    <col min="6" max="6" width="9.5546875" bestFit="1" customWidth="1"/>
    <col min="7" max="8" width="24.77734375" bestFit="1" customWidth="1"/>
    <col min="9" max="9" width="18" bestFit="1" customWidth="1"/>
    <col min="10" max="10" width="21.21875" bestFit="1" customWidth="1"/>
    <col min="11" max="11" width="21" bestFit="1" customWidth="1"/>
    <col min="12" max="12" width="29.21875" bestFit="1" customWidth="1"/>
    <col min="13" max="13" width="29" bestFit="1" customWidth="1"/>
    <col min="14" max="15" width="12" bestFit="1" customWidth="1"/>
    <col min="16" max="16" width="19.21875" bestFit="1" customWidth="1"/>
    <col min="17" max="17" width="20.21875" bestFit="1" customWidth="1"/>
    <col min="18" max="18" width="19.21875" bestFit="1" customWidth="1"/>
    <col min="19" max="19" width="22.77734375" bestFit="1" customWidth="1"/>
    <col min="20" max="20" width="23.5546875" bestFit="1" customWidth="1"/>
    <col min="21" max="21" width="23.44140625" bestFit="1" customWidth="1"/>
    <col min="22" max="22" width="20.21875" bestFit="1" customWidth="1"/>
  </cols>
  <sheetData>
    <row r="1" spans="1:25" x14ac:dyDescent="0.3">
      <c r="A1" s="44" t="s">
        <v>0</v>
      </c>
      <c r="B1" s="44" t="s">
        <v>125</v>
      </c>
      <c r="C1" s="44" t="s">
        <v>126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x14ac:dyDescent="0.3">
      <c r="A2" s="44" t="s">
        <v>1</v>
      </c>
      <c r="B2" s="44" t="s">
        <v>2</v>
      </c>
      <c r="C2" s="44" t="s">
        <v>3</v>
      </c>
      <c r="D2" s="44" t="s">
        <v>6</v>
      </c>
      <c r="E2" s="44" t="s">
        <v>4</v>
      </c>
      <c r="F2" s="44" t="s">
        <v>5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44" t="s">
        <v>15</v>
      </c>
      <c r="P2" s="44" t="s">
        <v>16</v>
      </c>
      <c r="Q2" s="44" t="s">
        <v>17</v>
      </c>
      <c r="R2" s="44" t="s">
        <v>18</v>
      </c>
      <c r="S2" s="44" t="s">
        <v>19</v>
      </c>
      <c r="T2" s="44" t="s">
        <v>20</v>
      </c>
      <c r="U2" s="44" t="s">
        <v>21</v>
      </c>
      <c r="V2" s="44" t="s">
        <v>22</v>
      </c>
      <c r="W2" s="44" t="s">
        <v>127</v>
      </c>
      <c r="X2" s="44" t="s">
        <v>99</v>
      </c>
      <c r="Y2" s="44" t="s">
        <v>100</v>
      </c>
    </row>
    <row r="3" spans="1:25" x14ac:dyDescent="0.3">
      <c r="A3" s="44" t="s">
        <v>128</v>
      </c>
      <c r="B3" s="44" t="s">
        <v>129</v>
      </c>
      <c r="C3" s="44" t="s">
        <v>98</v>
      </c>
      <c r="D3" s="44">
        <v>359.958984375</v>
      </c>
      <c r="E3" s="44">
        <v>179.996680587388</v>
      </c>
      <c r="F3" s="44">
        <v>359.99976894085302</v>
      </c>
      <c r="G3" s="44">
        <v>-0.18768540492847099</v>
      </c>
      <c r="H3" s="44">
        <v>0.10910533342567</v>
      </c>
      <c r="I3" s="44">
        <v>0.21709395432644099</v>
      </c>
      <c r="J3" s="44">
        <v>15.5128749763399</v>
      </c>
      <c r="K3" s="44">
        <v>15.2172222014459</v>
      </c>
      <c r="L3" s="44">
        <v>0</v>
      </c>
      <c r="M3" s="44">
        <v>0</v>
      </c>
      <c r="N3" s="44">
        <v>15.700560381268399</v>
      </c>
      <c r="O3" s="44">
        <v>15.1081168680203</v>
      </c>
      <c r="P3" s="44">
        <v>5.5078552491801798</v>
      </c>
      <c r="Q3" s="44">
        <v>25.517894703499699</v>
      </c>
      <c r="R3" s="44">
        <v>5.5569123672806704</v>
      </c>
      <c r="S3" s="44">
        <v>24.8775320356112</v>
      </c>
      <c r="T3" s="44">
        <v>15.5128749763399</v>
      </c>
      <c r="U3" s="44">
        <v>15.2172222014459</v>
      </c>
      <c r="V3" s="44" t="s">
        <v>130</v>
      </c>
      <c r="W3" s="44" t="s">
        <v>131</v>
      </c>
      <c r="X3" s="44" t="s">
        <v>132</v>
      </c>
      <c r="Y3" s="44" t="s">
        <v>133</v>
      </c>
    </row>
    <row r="4" spans="1:25" x14ac:dyDescent="0.3">
      <c r="A4" s="44" t="s">
        <v>128</v>
      </c>
      <c r="B4" s="44" t="s">
        <v>134</v>
      </c>
      <c r="C4" s="44" t="s">
        <v>98</v>
      </c>
      <c r="D4" s="44">
        <v>359.958984375</v>
      </c>
      <c r="E4" s="44">
        <v>179.996680587388</v>
      </c>
      <c r="F4" s="44">
        <v>89.9999459676893</v>
      </c>
      <c r="G4" s="44">
        <v>-0.35029785413376502</v>
      </c>
      <c r="H4" s="44">
        <v>4.9797898025145601E-2</v>
      </c>
      <c r="I4" s="44">
        <v>0.35381975249898601</v>
      </c>
      <c r="J4" s="44">
        <v>15.146842426946099</v>
      </c>
      <c r="K4" s="44">
        <v>15.622398930717299</v>
      </c>
      <c r="L4" s="44">
        <v>0</v>
      </c>
      <c r="M4" s="44">
        <v>0</v>
      </c>
      <c r="N4" s="44">
        <v>15.497140281079901</v>
      </c>
      <c r="O4" s="44">
        <v>15.5726010326921</v>
      </c>
      <c r="P4" s="44">
        <v>5.4914630129142497</v>
      </c>
      <c r="Q4" s="44">
        <v>24.802221840978099</v>
      </c>
      <c r="R4" s="44">
        <v>5.6150571925919799</v>
      </c>
      <c r="S4" s="44">
        <v>25.6297406688427</v>
      </c>
      <c r="T4" s="44">
        <v>15.146842426946099</v>
      </c>
      <c r="U4" s="44">
        <v>15.622398930717299</v>
      </c>
      <c r="V4" s="44" t="s">
        <v>130</v>
      </c>
      <c r="W4" s="44" t="s">
        <v>131</v>
      </c>
      <c r="X4" s="44" t="s">
        <v>135</v>
      </c>
      <c r="Y4" s="44" t="s">
        <v>133</v>
      </c>
    </row>
    <row r="5" spans="1:25" x14ac:dyDescent="0.3">
      <c r="A5" s="44" t="s">
        <v>128</v>
      </c>
      <c r="B5" s="44" t="s">
        <v>136</v>
      </c>
      <c r="C5" s="44" t="s">
        <v>98</v>
      </c>
      <c r="D5" s="44">
        <v>359.958984375</v>
      </c>
      <c r="E5" s="44">
        <v>90.061408490488603</v>
      </c>
      <c r="F5" s="44">
        <v>89.999963741467994</v>
      </c>
      <c r="G5" s="44">
        <v>-9.5365027570318603E-2</v>
      </c>
      <c r="H5" s="44">
        <v>-0.19835043311669201</v>
      </c>
      <c r="I5" s="44">
        <v>0.220084944512492</v>
      </c>
      <c r="J5" s="44">
        <v>15.167889048010601</v>
      </c>
      <c r="K5" s="44">
        <v>15.6826314191253</v>
      </c>
      <c r="L5" s="44">
        <v>0</v>
      </c>
      <c r="M5" s="44">
        <v>0</v>
      </c>
      <c r="N5" s="44">
        <v>15.263254075580999</v>
      </c>
      <c r="O5" s="44">
        <v>15.880981852242</v>
      </c>
      <c r="P5" s="44">
        <v>5.5464509682700003</v>
      </c>
      <c r="Q5" s="44">
        <v>24.789327127751299</v>
      </c>
      <c r="R5" s="44">
        <v>5.6762537202603198</v>
      </c>
      <c r="S5" s="44">
        <v>25.689009117990398</v>
      </c>
      <c r="T5" s="44">
        <v>15.167889048010601</v>
      </c>
      <c r="U5" s="44">
        <v>15.6826314191253</v>
      </c>
      <c r="V5" s="44" t="s">
        <v>130</v>
      </c>
      <c r="W5" s="44" t="s">
        <v>131</v>
      </c>
      <c r="X5" s="44" t="s">
        <v>137</v>
      </c>
      <c r="Y5" s="44" t="s">
        <v>133</v>
      </c>
    </row>
    <row r="6" spans="1:25" x14ac:dyDescent="0.3">
      <c r="A6" s="44" t="s">
        <v>128</v>
      </c>
      <c r="B6" s="44" t="s">
        <v>138</v>
      </c>
      <c r="C6" s="44" t="s">
        <v>98</v>
      </c>
      <c r="D6" s="44">
        <v>359.958984375</v>
      </c>
      <c r="E6" s="44">
        <v>359.96016741134798</v>
      </c>
      <c r="F6" s="44">
        <v>89.9998837594636</v>
      </c>
      <c r="G6" s="44">
        <v>0.38258601462345898</v>
      </c>
      <c r="H6" s="44">
        <v>-0.43706776351631199</v>
      </c>
      <c r="I6" s="44">
        <v>0.58086167758823004</v>
      </c>
      <c r="J6" s="44">
        <v>15.215030521131601</v>
      </c>
      <c r="K6" s="44">
        <v>15.596115865923201</v>
      </c>
      <c r="L6" s="44">
        <v>0</v>
      </c>
      <c r="M6" s="44">
        <v>0</v>
      </c>
      <c r="N6" s="44">
        <v>14.8324445065081</v>
      </c>
      <c r="O6" s="44">
        <v>16.033183629439499</v>
      </c>
      <c r="P6" s="44">
        <v>5.5925303800588404</v>
      </c>
      <c r="Q6" s="44">
        <v>24.837530662204401</v>
      </c>
      <c r="R6" s="44">
        <v>5.5835585159601004</v>
      </c>
      <c r="S6" s="44">
        <v>25.608673215886402</v>
      </c>
      <c r="T6" s="44">
        <v>15.215030521131601</v>
      </c>
      <c r="U6" s="44">
        <v>15.596115865923201</v>
      </c>
      <c r="V6" s="44" t="s">
        <v>130</v>
      </c>
      <c r="W6" s="44" t="s">
        <v>131</v>
      </c>
      <c r="X6" s="44" t="s">
        <v>139</v>
      </c>
      <c r="Y6" s="44" t="s">
        <v>133</v>
      </c>
    </row>
    <row r="7" spans="1:25" x14ac:dyDescent="0.3">
      <c r="A7" s="44" t="s">
        <v>128</v>
      </c>
      <c r="B7" s="44" t="s">
        <v>140</v>
      </c>
      <c r="C7" s="44" t="s">
        <v>98</v>
      </c>
      <c r="D7" s="44">
        <v>359.958984375</v>
      </c>
      <c r="E7" s="44">
        <v>269.93859144368298</v>
      </c>
      <c r="F7" s="44">
        <v>89.999812664348596</v>
      </c>
      <c r="G7" s="44">
        <v>2.5618068247379E-2</v>
      </c>
      <c r="H7" s="44">
        <v>-0.177348694868422</v>
      </c>
      <c r="I7" s="44">
        <v>0.179189410937868</v>
      </c>
      <c r="J7" s="44">
        <v>15.115543581261001</v>
      </c>
      <c r="K7" s="44">
        <v>15.557015765706099</v>
      </c>
      <c r="L7" s="44">
        <v>0</v>
      </c>
      <c r="M7" s="44">
        <v>0</v>
      </c>
      <c r="N7" s="44">
        <v>15.0899255130137</v>
      </c>
      <c r="O7" s="44">
        <v>15.7343644605746</v>
      </c>
      <c r="P7" s="44">
        <v>5.4859111654046897</v>
      </c>
      <c r="Q7" s="44">
        <v>24.7451759971174</v>
      </c>
      <c r="R7" s="44">
        <v>5.5600272392863204</v>
      </c>
      <c r="S7" s="44">
        <v>25.554004292125999</v>
      </c>
      <c r="T7" s="44">
        <v>15.115543581261001</v>
      </c>
      <c r="U7" s="44">
        <v>15.557015765706099</v>
      </c>
      <c r="V7" s="44" t="s">
        <v>130</v>
      </c>
      <c r="W7" s="44" t="s">
        <v>131</v>
      </c>
      <c r="X7" s="44" t="s">
        <v>141</v>
      </c>
      <c r="Y7" s="44" t="s">
        <v>133</v>
      </c>
    </row>
    <row r="8" spans="1:25" x14ac:dyDescent="0.3">
      <c r="A8" s="44" t="s">
        <v>128</v>
      </c>
      <c r="B8" s="44" t="s">
        <v>142</v>
      </c>
      <c r="C8" s="44" t="s">
        <v>98</v>
      </c>
      <c r="D8" s="44">
        <v>359.958984375</v>
      </c>
      <c r="E8" s="44">
        <v>269.99170151800001</v>
      </c>
      <c r="F8" s="44">
        <v>270.00007180604302</v>
      </c>
      <c r="G8" s="44">
        <v>0.17823995336537901</v>
      </c>
      <c r="H8" s="44">
        <v>0.104891699225033</v>
      </c>
      <c r="I8" s="44">
        <v>0.20681332051395299</v>
      </c>
      <c r="J8" s="44">
        <v>15.275461915905399</v>
      </c>
      <c r="K8" s="44">
        <v>15.603397287377099</v>
      </c>
      <c r="L8" s="44">
        <v>0</v>
      </c>
      <c r="M8" s="44">
        <v>0</v>
      </c>
      <c r="N8" s="44">
        <v>15.0972219625401</v>
      </c>
      <c r="O8" s="44">
        <v>15.498505588152099</v>
      </c>
      <c r="P8" s="44">
        <v>5.6414134529694397</v>
      </c>
      <c r="Q8" s="44">
        <v>24.9095103788415</v>
      </c>
      <c r="R8" s="44">
        <v>5.61309493167931</v>
      </c>
      <c r="S8" s="44">
        <v>25.593699643074899</v>
      </c>
      <c r="T8" s="44">
        <v>15.275461915905399</v>
      </c>
      <c r="U8" s="44">
        <v>15.603397287377099</v>
      </c>
      <c r="V8" s="44" t="s">
        <v>130</v>
      </c>
      <c r="W8" s="44" t="s">
        <v>131</v>
      </c>
      <c r="X8" s="44" t="s">
        <v>143</v>
      </c>
      <c r="Y8" s="44" t="s">
        <v>133</v>
      </c>
    </row>
    <row r="9" spans="1:25" x14ac:dyDescent="0.3">
      <c r="A9" s="44" t="s">
        <v>128</v>
      </c>
      <c r="B9" s="44" t="s">
        <v>144</v>
      </c>
      <c r="C9" s="44" t="s">
        <v>98</v>
      </c>
      <c r="D9" s="44">
        <v>359.958984375</v>
      </c>
      <c r="E9" s="44">
        <v>359.9999995</v>
      </c>
      <c r="F9" s="44">
        <v>270.00008069293199</v>
      </c>
      <c r="G9" s="44">
        <v>0.43473286841373399</v>
      </c>
      <c r="H9" s="44">
        <v>-0.19503638340127599</v>
      </c>
      <c r="I9" s="44">
        <v>0.47647860154416399</v>
      </c>
      <c r="J9" s="44">
        <v>15.2831180020129</v>
      </c>
      <c r="K9" s="44">
        <v>15.626288539616301</v>
      </c>
      <c r="L9" s="44">
        <v>0</v>
      </c>
      <c r="M9" s="44">
        <v>0</v>
      </c>
      <c r="N9" s="44">
        <v>14.8483851335991</v>
      </c>
      <c r="O9" s="44">
        <v>15.821324923017601</v>
      </c>
      <c r="P9" s="44">
        <v>5.6499494429808896</v>
      </c>
      <c r="Q9" s="44">
        <v>24.916286561044899</v>
      </c>
      <c r="R9" s="44">
        <v>5.6284740920307899</v>
      </c>
      <c r="S9" s="44">
        <v>25.624102987201798</v>
      </c>
      <c r="T9" s="44">
        <v>15.2831180020129</v>
      </c>
      <c r="U9" s="44">
        <v>15.626288539616301</v>
      </c>
      <c r="V9" s="44" t="s">
        <v>130</v>
      </c>
      <c r="W9" s="44" t="s">
        <v>131</v>
      </c>
      <c r="X9" s="44" t="s">
        <v>145</v>
      </c>
      <c r="Y9" s="44" t="s">
        <v>133</v>
      </c>
    </row>
    <row r="10" spans="1:25" x14ac:dyDescent="0.3">
      <c r="A10" s="44" t="s">
        <v>128</v>
      </c>
      <c r="B10" s="44" t="s">
        <v>146</v>
      </c>
      <c r="C10" s="44" t="s">
        <v>98</v>
      </c>
      <c r="D10" s="44">
        <v>359.958984375</v>
      </c>
      <c r="E10" s="44">
        <v>90.034853453330001</v>
      </c>
      <c r="F10" s="44">
        <v>270.00008069293199</v>
      </c>
      <c r="G10" s="44">
        <v>4.73388770717484E-2</v>
      </c>
      <c r="H10" s="44">
        <v>5.1362850925194402E-2</v>
      </c>
      <c r="I10" s="44">
        <v>6.9850638777164006E-2</v>
      </c>
      <c r="J10" s="44">
        <v>15.0783648364875</v>
      </c>
      <c r="K10" s="44">
        <v>15.446225244415899</v>
      </c>
      <c r="L10" s="44">
        <v>0</v>
      </c>
      <c r="M10" s="44">
        <v>0</v>
      </c>
      <c r="N10" s="44">
        <v>15.0310259594157</v>
      </c>
      <c r="O10" s="44">
        <v>15.394862393490699</v>
      </c>
      <c r="P10" s="44">
        <v>5.4464528161897796</v>
      </c>
      <c r="Q10" s="44">
        <v>24.7102768567852</v>
      </c>
      <c r="R10" s="44">
        <v>5.4657925522514299</v>
      </c>
      <c r="S10" s="44">
        <v>25.426657936580298</v>
      </c>
      <c r="T10" s="44">
        <v>15.0783648364875</v>
      </c>
      <c r="U10" s="44">
        <v>15.446225244415899</v>
      </c>
      <c r="V10" s="44" t="s">
        <v>130</v>
      </c>
      <c r="W10" s="44" t="s">
        <v>131</v>
      </c>
      <c r="X10" s="44" t="s">
        <v>147</v>
      </c>
      <c r="Y10" s="44" t="s">
        <v>133</v>
      </c>
    </row>
    <row r="11" spans="1:25" x14ac:dyDescent="0.3">
      <c r="A11" s="44" t="s">
        <v>128</v>
      </c>
      <c r="B11" s="44" t="s">
        <v>148</v>
      </c>
      <c r="C11" s="44" t="s">
        <v>98</v>
      </c>
      <c r="D11" s="44">
        <v>359.958984375</v>
      </c>
      <c r="E11" s="44">
        <v>180.00331934667801</v>
      </c>
      <c r="F11" s="44">
        <v>270.00008069293199</v>
      </c>
      <c r="G11" s="44">
        <v>-0.16097999105024999</v>
      </c>
      <c r="H11" s="44">
        <v>0.293298387007698</v>
      </c>
      <c r="I11" s="44">
        <v>0.33457211679973597</v>
      </c>
      <c r="J11" s="44">
        <v>15.0736134532756</v>
      </c>
      <c r="K11" s="44">
        <v>15.617132709738399</v>
      </c>
      <c r="L11" s="44">
        <v>0</v>
      </c>
      <c r="M11" s="44">
        <v>0</v>
      </c>
      <c r="N11" s="44">
        <v>15.2345934443258</v>
      </c>
      <c r="O11" s="44">
        <v>15.323834322730701</v>
      </c>
      <c r="P11" s="44">
        <v>5.4458894399474804</v>
      </c>
      <c r="Q11" s="44">
        <v>24.7013374666037</v>
      </c>
      <c r="R11" s="44">
        <v>5.6323041650804102</v>
      </c>
      <c r="S11" s="44">
        <v>25.6019612543964</v>
      </c>
      <c r="T11" s="44">
        <v>15.0736134532756</v>
      </c>
      <c r="U11" s="44">
        <v>15.617132709738399</v>
      </c>
      <c r="V11" s="44" t="s">
        <v>130</v>
      </c>
      <c r="W11" s="44" t="s">
        <v>131</v>
      </c>
      <c r="X11" s="44" t="s">
        <v>149</v>
      </c>
      <c r="Y11" s="44" t="s">
        <v>133</v>
      </c>
    </row>
    <row r="12" spans="1:25" x14ac:dyDescent="0.3">
      <c r="A12" s="44" t="s">
        <v>128</v>
      </c>
      <c r="B12" s="44" t="s">
        <v>150</v>
      </c>
      <c r="C12" s="44" t="s">
        <v>98</v>
      </c>
      <c r="D12" s="44">
        <v>89.95703125</v>
      </c>
      <c r="E12" s="44">
        <v>180.00331934667801</v>
      </c>
      <c r="F12" s="44">
        <v>270.00008069293199</v>
      </c>
      <c r="G12" s="44">
        <v>0.46812729341505299</v>
      </c>
      <c r="H12" s="44">
        <v>0.21745638406965601</v>
      </c>
      <c r="I12" s="44">
        <v>0.51616900508724095</v>
      </c>
      <c r="J12" s="44">
        <v>15.0711805675364</v>
      </c>
      <c r="K12" s="44">
        <v>15.614592522469801</v>
      </c>
      <c r="L12" s="44">
        <v>0</v>
      </c>
      <c r="M12" s="44">
        <v>0</v>
      </c>
      <c r="N12" s="44">
        <v>14.603053274121301</v>
      </c>
      <c r="O12" s="44">
        <v>15.3971361384001</v>
      </c>
      <c r="P12" s="44">
        <v>5.4443105445701701</v>
      </c>
      <c r="Q12" s="44">
        <v>24.698050590502699</v>
      </c>
      <c r="R12" s="44">
        <v>5.6316863306795097</v>
      </c>
      <c r="S12" s="44">
        <v>25.597498714260102</v>
      </c>
      <c r="T12" s="44">
        <v>15.0711805675364</v>
      </c>
      <c r="U12" s="44">
        <v>15.614592522469801</v>
      </c>
      <c r="V12" s="44" t="s">
        <v>130</v>
      </c>
      <c r="W12" s="44" t="s">
        <v>131</v>
      </c>
      <c r="X12" s="44" t="s">
        <v>151</v>
      </c>
      <c r="Y12" s="44" t="s">
        <v>133</v>
      </c>
    </row>
    <row r="13" spans="1:25" x14ac:dyDescent="0.3">
      <c r="A13" s="44" t="s">
        <v>128</v>
      </c>
      <c r="B13" s="44" t="s">
        <v>152</v>
      </c>
      <c r="C13" s="44" t="s">
        <v>98</v>
      </c>
      <c r="D13" s="44">
        <v>59.958984375</v>
      </c>
      <c r="E13" s="44">
        <v>180.00331934667801</v>
      </c>
      <c r="F13" s="44">
        <v>270.00008069293199</v>
      </c>
      <c r="G13" s="44">
        <v>0.51955932736586496</v>
      </c>
      <c r="H13" s="44">
        <v>0.349317856852771</v>
      </c>
      <c r="I13" s="44">
        <v>0.62607097023347302</v>
      </c>
      <c r="J13" s="44">
        <v>15.065355206387499</v>
      </c>
      <c r="K13" s="44">
        <v>15.625489317098401</v>
      </c>
      <c r="L13" s="44">
        <v>0</v>
      </c>
      <c r="M13" s="44">
        <v>0</v>
      </c>
      <c r="N13" s="44">
        <v>14.5457958790217</v>
      </c>
      <c r="O13" s="44">
        <v>15.2761714602456</v>
      </c>
      <c r="P13" s="44">
        <v>5.4318987106090297</v>
      </c>
      <c r="Q13" s="44">
        <v>24.6988117021661</v>
      </c>
      <c r="R13" s="44">
        <v>5.6430017199841096</v>
      </c>
      <c r="S13" s="44">
        <v>25.607976914212799</v>
      </c>
      <c r="T13" s="44">
        <v>15.065355206387499</v>
      </c>
      <c r="U13" s="44">
        <v>15.625489317098401</v>
      </c>
      <c r="V13" s="44" t="s">
        <v>130</v>
      </c>
      <c r="W13" s="44" t="s">
        <v>131</v>
      </c>
      <c r="X13" s="44" t="s">
        <v>153</v>
      </c>
      <c r="Y13" s="44" t="s">
        <v>133</v>
      </c>
    </row>
    <row r="14" spans="1:25" x14ac:dyDescent="0.3">
      <c r="A14" s="44" t="s">
        <v>128</v>
      </c>
      <c r="B14" s="44" t="s">
        <v>154</v>
      </c>
      <c r="C14" s="44" t="s">
        <v>98</v>
      </c>
      <c r="D14" s="44">
        <v>29.953125</v>
      </c>
      <c r="E14" s="44">
        <v>180.00331934667801</v>
      </c>
      <c r="F14" s="44">
        <v>270.00008069293199</v>
      </c>
      <c r="G14" s="44">
        <v>0.34582174202733601</v>
      </c>
      <c r="H14" s="44">
        <v>0.35825171089872199</v>
      </c>
      <c r="I14" s="44">
        <v>0.49793269185772798</v>
      </c>
      <c r="J14" s="44">
        <v>15.067856423531801</v>
      </c>
      <c r="K14" s="44">
        <v>15.6313236177857</v>
      </c>
      <c r="L14" s="44">
        <v>0</v>
      </c>
      <c r="M14" s="44">
        <v>0</v>
      </c>
      <c r="N14" s="44">
        <v>14.7220346815045</v>
      </c>
      <c r="O14" s="44">
        <v>15.273071906886999</v>
      </c>
      <c r="P14" s="44">
        <v>5.43866861141026</v>
      </c>
      <c r="Q14" s="44">
        <v>24.697044235653401</v>
      </c>
      <c r="R14" s="44">
        <v>5.6414969692268997</v>
      </c>
      <c r="S14" s="44">
        <v>25.6211502663446</v>
      </c>
      <c r="T14" s="44">
        <v>15.067856423531801</v>
      </c>
      <c r="U14" s="44">
        <v>15.6313236177857</v>
      </c>
      <c r="V14" s="44" t="s">
        <v>130</v>
      </c>
      <c r="W14" s="44" t="s">
        <v>131</v>
      </c>
      <c r="X14" s="44" t="s">
        <v>155</v>
      </c>
      <c r="Y14" s="44" t="s">
        <v>133</v>
      </c>
    </row>
    <row r="15" spans="1:25" x14ac:dyDescent="0.3">
      <c r="A15" s="44" t="s">
        <v>128</v>
      </c>
      <c r="B15" s="44" t="s">
        <v>156</v>
      </c>
      <c r="C15" s="44" t="s">
        <v>98</v>
      </c>
      <c r="D15" s="44">
        <v>329.958984375</v>
      </c>
      <c r="E15" s="44">
        <v>180.00331934667801</v>
      </c>
      <c r="F15" s="44">
        <v>270.00008069293199</v>
      </c>
      <c r="G15" s="44">
        <v>-0.358601869906291</v>
      </c>
      <c r="H15" s="44">
        <v>0.472593395316527</v>
      </c>
      <c r="I15" s="44">
        <v>0.59324515876414197</v>
      </c>
      <c r="J15" s="44">
        <v>15.077989657448599</v>
      </c>
      <c r="K15" s="44">
        <v>15.631406029975</v>
      </c>
      <c r="L15" s="44">
        <v>0</v>
      </c>
      <c r="M15" s="44">
        <v>0</v>
      </c>
      <c r="N15" s="44">
        <v>15.436591527354899</v>
      </c>
      <c r="O15" s="44">
        <v>15.1588126346584</v>
      </c>
      <c r="P15" s="44">
        <v>5.4472437622354697</v>
      </c>
      <c r="Q15" s="44">
        <v>24.7087355526618</v>
      </c>
      <c r="R15" s="44">
        <v>5.6396943993665198</v>
      </c>
      <c r="S15" s="44">
        <v>25.6231176605835</v>
      </c>
      <c r="T15" s="44">
        <v>15.077989657448599</v>
      </c>
      <c r="U15" s="44">
        <v>15.631406029975</v>
      </c>
      <c r="V15" s="44" t="s">
        <v>130</v>
      </c>
      <c r="W15" s="44" t="s">
        <v>131</v>
      </c>
      <c r="X15" s="44" t="s">
        <v>157</v>
      </c>
      <c r="Y15" s="44" t="s">
        <v>133</v>
      </c>
    </row>
    <row r="16" spans="1:25" x14ac:dyDescent="0.3">
      <c r="A16" s="44" t="s">
        <v>128</v>
      </c>
      <c r="B16" s="44" t="s">
        <v>158</v>
      </c>
      <c r="C16" s="44" t="s">
        <v>98</v>
      </c>
      <c r="D16" s="44">
        <v>299.958984375</v>
      </c>
      <c r="E16" s="44">
        <v>180.00331934667801</v>
      </c>
      <c r="F16" s="44">
        <v>270.00008069293199</v>
      </c>
      <c r="G16" s="44">
        <v>-0.248635112914524</v>
      </c>
      <c r="H16" s="44">
        <v>0.56974801931510599</v>
      </c>
      <c r="I16" s="44">
        <v>0.62163673064540204</v>
      </c>
      <c r="J16" s="44">
        <v>15.0771363978547</v>
      </c>
      <c r="K16" s="44">
        <v>15.623741481565199</v>
      </c>
      <c r="L16" s="44">
        <v>0</v>
      </c>
      <c r="M16" s="44">
        <v>0</v>
      </c>
      <c r="N16" s="44">
        <v>15.325771510769201</v>
      </c>
      <c r="O16" s="44">
        <v>15.0539934622501</v>
      </c>
      <c r="P16" s="44">
        <v>5.4451653527190196</v>
      </c>
      <c r="Q16" s="44">
        <v>24.709107442990302</v>
      </c>
      <c r="R16" s="44">
        <v>5.6380005878171602</v>
      </c>
      <c r="S16" s="44">
        <v>25.609482375313299</v>
      </c>
      <c r="T16" s="44">
        <v>15.0771363978547</v>
      </c>
      <c r="U16" s="44">
        <v>15.623741481565199</v>
      </c>
      <c r="V16" s="44" t="s">
        <v>130</v>
      </c>
      <c r="W16" s="44" t="s">
        <v>131</v>
      </c>
      <c r="X16" s="44" t="s">
        <v>159</v>
      </c>
      <c r="Y16" s="44" t="s">
        <v>133</v>
      </c>
    </row>
    <row r="17" spans="1:25" x14ac:dyDescent="0.3">
      <c r="A17" s="44" t="s">
        <v>128</v>
      </c>
      <c r="B17" s="44" t="s">
        <v>160</v>
      </c>
      <c r="C17" s="44" t="s">
        <v>98</v>
      </c>
      <c r="D17" s="44">
        <v>269.958984375</v>
      </c>
      <c r="E17" s="44">
        <v>180.00331934667801</v>
      </c>
      <c r="F17" s="44">
        <v>270.00008069293199</v>
      </c>
      <c r="G17" s="44">
        <v>-0.36300599020652502</v>
      </c>
      <c r="H17" s="44">
        <v>0.74012557729504902</v>
      </c>
      <c r="I17" s="44">
        <v>0.82435381911661598</v>
      </c>
      <c r="J17" s="44">
        <v>15.295245686053301</v>
      </c>
      <c r="K17" s="44">
        <v>15.6155393733059</v>
      </c>
      <c r="L17" s="44">
        <v>0</v>
      </c>
      <c r="M17" s="44">
        <v>0</v>
      </c>
      <c r="N17" s="44">
        <v>15.6582516762598</v>
      </c>
      <c r="O17" s="44">
        <v>14.8754137960108</v>
      </c>
      <c r="P17" s="44">
        <v>5.6690089629952398</v>
      </c>
      <c r="Q17" s="44">
        <v>24.921482409111398</v>
      </c>
      <c r="R17" s="44">
        <v>5.6310785842286304</v>
      </c>
      <c r="S17" s="44">
        <v>25.6000001623832</v>
      </c>
      <c r="T17" s="44">
        <v>15.295245686053301</v>
      </c>
      <c r="U17" s="44">
        <v>15.6155393733059</v>
      </c>
      <c r="V17" s="44" t="s">
        <v>130</v>
      </c>
      <c r="W17" s="44" t="s">
        <v>131</v>
      </c>
      <c r="X17" s="44" t="s">
        <v>161</v>
      </c>
      <c r="Y17" s="44" t="s">
        <v>133</v>
      </c>
    </row>
    <row r="19" spans="1:25" x14ac:dyDescent="0.3">
      <c r="A19" t="s">
        <v>53</v>
      </c>
    </row>
    <row r="20" spans="1:25" x14ac:dyDescent="0.3">
      <c r="A20" t="s">
        <v>54</v>
      </c>
      <c r="B20" t="s">
        <v>55</v>
      </c>
      <c r="C20" t="s">
        <v>56</v>
      </c>
    </row>
    <row r="21" spans="1:25" x14ac:dyDescent="0.3">
      <c r="A21">
        <f>10*(A24-A23)</f>
        <v>0</v>
      </c>
      <c r="B21">
        <f>10*(B24-B23)</f>
        <v>0</v>
      </c>
      <c r="C21">
        <f t="shared" ref="C21" si="0">10*(C24-C23)</f>
        <v>0</v>
      </c>
    </row>
    <row r="23" spans="1:25" x14ac:dyDescent="0.3">
      <c r="A23" s="45">
        <v>0</v>
      </c>
      <c r="B23" s="45">
        <v>0</v>
      </c>
      <c r="C23" s="45">
        <v>0</v>
      </c>
      <c r="D23" t="s">
        <v>76</v>
      </c>
    </row>
    <row r="24" spans="1:25" x14ac:dyDescent="0.3">
      <c r="A24" s="45">
        <v>0</v>
      </c>
      <c r="B24" s="45">
        <v>0</v>
      </c>
      <c r="C24" s="45">
        <v>0</v>
      </c>
      <c r="D24" t="s">
        <v>77</v>
      </c>
    </row>
  </sheetData>
  <sheetProtection selectLockedCells="1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B26" sqref="B26"/>
    </sheetView>
  </sheetViews>
  <sheetFormatPr defaultRowHeight="14.4" x14ac:dyDescent="0.3"/>
  <cols>
    <col min="1" max="1" width="22.44140625" bestFit="1" customWidth="1"/>
    <col min="2" max="2" width="32.77734375" bestFit="1" customWidth="1"/>
    <col min="3" max="3" width="27.44140625" bestFit="1" customWidth="1"/>
    <col min="4" max="4" width="11.77734375" bestFit="1" customWidth="1"/>
    <col min="5" max="5" width="9.44140625" bestFit="1" customWidth="1"/>
    <col min="6" max="6" width="9.5546875" bestFit="1" customWidth="1"/>
    <col min="7" max="8" width="24.77734375" bestFit="1" customWidth="1"/>
    <col min="9" max="9" width="18" bestFit="1" customWidth="1"/>
    <col min="10" max="10" width="21.21875" bestFit="1" customWidth="1"/>
    <col min="11" max="11" width="21" bestFit="1" customWidth="1"/>
    <col min="12" max="12" width="29.21875" bestFit="1" customWidth="1"/>
    <col min="13" max="13" width="29" bestFit="1" customWidth="1"/>
    <col min="14" max="14" width="12" bestFit="1" customWidth="1"/>
    <col min="15" max="15" width="11.77734375" bestFit="1" customWidth="1"/>
    <col min="16" max="16" width="19.21875" bestFit="1" customWidth="1"/>
    <col min="17" max="17" width="20.21875" bestFit="1" customWidth="1"/>
    <col min="18" max="18" width="19.21875" bestFit="1" customWidth="1"/>
    <col min="19" max="19" width="22.77734375" bestFit="1" customWidth="1"/>
    <col min="20" max="20" width="23.5546875" bestFit="1" customWidth="1"/>
    <col min="21" max="21" width="23.44140625" bestFit="1" customWidth="1"/>
    <col min="22" max="22" width="20.21875" bestFit="1" customWidth="1"/>
  </cols>
  <sheetData>
    <row r="1" spans="1:22" x14ac:dyDescent="0.3">
      <c r="A1" t="str">
        <f>Data!A1</f>
        <v>Winston-Lutz Field Data</v>
      </c>
      <c r="B1" t="str">
        <f>Data!B1</f>
        <v>Data Date: 2024-10-15 17:47:43</v>
      </c>
      <c r="C1" t="str">
        <f>Data!C1</f>
        <v>Analysis Date: 2024-10-15 17:55:17</v>
      </c>
    </row>
    <row r="2" spans="1:22" x14ac:dyDescent="0.3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3">
      <c r="A3" t="str">
        <f>Data!A3</f>
        <v>TB5</v>
      </c>
      <c r="B3" t="str">
        <f>Data!B3</f>
        <v>G180 C000 0:00</v>
      </c>
      <c r="C3" t="str">
        <f>Data!C3</f>
        <v>Passed</v>
      </c>
      <c r="D3" s="2">
        <f>IF(ROUND(Data!E3,0)=360,0,ROUND(Data!E3,0))</f>
        <v>180</v>
      </c>
      <c r="E3" s="2">
        <f>IF(ROUND(Data!F3,0)=360,0,ROUND(Data!F3,0))</f>
        <v>0</v>
      </c>
      <c r="F3" s="2">
        <f>IF(ROUND(Data!D3,0)=0,0,ROUND(360-Data!D3,0))</f>
        <v>0</v>
      </c>
      <c r="G3" s="1">
        <f>ROUND(Data!G3,2)</f>
        <v>-0.19</v>
      </c>
      <c r="H3" s="1">
        <f>ROUND(Data!H3,2)</f>
        <v>0.11</v>
      </c>
      <c r="I3" s="1">
        <f>ROUND(Data!I3,2)</f>
        <v>0.22</v>
      </c>
      <c r="J3" s="1">
        <f>ROUND(Data!J3,2)</f>
        <v>15.51</v>
      </c>
      <c r="K3" s="1">
        <f>ROUND(Data!K3,2)</f>
        <v>15.22</v>
      </c>
      <c r="L3" s="1">
        <f>ROUND(Data!L3,2)</f>
        <v>0</v>
      </c>
      <c r="M3" s="1">
        <f>ROUND(Data!M3,2)</f>
        <v>0</v>
      </c>
      <c r="N3" s="1">
        <f>ROUND(Data!N3,2)</f>
        <v>15.7</v>
      </c>
      <c r="O3" s="1">
        <f>ROUND(Data!O3,2)</f>
        <v>15.11</v>
      </c>
      <c r="P3" s="1">
        <f>ROUND(Data!P3,2)</f>
        <v>5.51</v>
      </c>
      <c r="Q3" s="1">
        <f>ROUND(Data!Q3,2)</f>
        <v>25.52</v>
      </c>
      <c r="R3" s="1">
        <f>ROUND(Data!R3,2)</f>
        <v>5.56</v>
      </c>
      <c r="S3" s="1">
        <f>ROUND(Data!S3,2)</f>
        <v>24.88</v>
      </c>
      <c r="T3" s="1">
        <f>ROUND(Data!T3,2)</f>
        <v>15.51</v>
      </c>
      <c r="U3" s="1">
        <f>ROUND(Data!U3,2)</f>
        <v>15.22</v>
      </c>
      <c r="V3" t="str">
        <f>Data!V3</f>
        <v>QASRSWL2</v>
      </c>
    </row>
    <row r="4" spans="1:22" x14ac:dyDescent="0.3">
      <c r="A4" t="str">
        <f>Data!A4</f>
        <v>TB5</v>
      </c>
      <c r="B4" t="str">
        <f>Data!B4</f>
        <v>G180 C090 0:21</v>
      </c>
      <c r="C4" t="str">
        <f>Data!C4</f>
        <v>Passed</v>
      </c>
      <c r="D4" s="2">
        <f>IF(ROUND(Data!E4,0)=360,0,ROUND(Data!E4,0))</f>
        <v>180</v>
      </c>
      <c r="E4" s="2">
        <f>IF(ROUND(Data!F4,0)=360,0,ROUND(Data!F4,0))</f>
        <v>90</v>
      </c>
      <c r="F4" s="2">
        <f>IF(ROUND(Data!D4,0)=0,0,ROUND(360-Data!D4,0))</f>
        <v>0</v>
      </c>
      <c r="G4" s="1">
        <f>ROUND(Data!G4,2)</f>
        <v>-0.35</v>
      </c>
      <c r="H4" s="1">
        <f>ROUND(Data!H4,2)</f>
        <v>0.05</v>
      </c>
      <c r="I4" s="1">
        <f>ROUND(Data!I4,2)</f>
        <v>0.35</v>
      </c>
      <c r="J4" s="1">
        <f>ROUND(Data!J4,2)</f>
        <v>15.15</v>
      </c>
      <c r="K4" s="1">
        <f>ROUND(Data!K4,2)</f>
        <v>15.62</v>
      </c>
      <c r="L4" s="1">
        <f>ROUND(Data!L4,2)</f>
        <v>0</v>
      </c>
      <c r="M4" s="1">
        <f>ROUND(Data!M4,2)</f>
        <v>0</v>
      </c>
      <c r="N4" s="1">
        <f>ROUND(Data!N4,2)</f>
        <v>15.5</v>
      </c>
      <c r="O4" s="1">
        <f>ROUND(Data!O4,2)</f>
        <v>15.57</v>
      </c>
      <c r="P4" s="1">
        <f>ROUND(Data!P4,2)</f>
        <v>5.49</v>
      </c>
      <c r="Q4" s="1">
        <f>ROUND(Data!Q4,2)</f>
        <v>24.8</v>
      </c>
      <c r="R4" s="1">
        <f>ROUND(Data!R4,2)</f>
        <v>5.62</v>
      </c>
      <c r="S4" s="1">
        <f>ROUND(Data!S4,2)</f>
        <v>25.63</v>
      </c>
      <c r="T4" s="1">
        <f>ROUND(Data!T4,2)</f>
        <v>15.15</v>
      </c>
      <c r="U4" s="1">
        <f>ROUND(Data!U4,2)</f>
        <v>15.62</v>
      </c>
      <c r="V4" t="str">
        <f>Data!V4</f>
        <v>QASRSWL2</v>
      </c>
    </row>
    <row r="5" spans="1:22" x14ac:dyDescent="0.3">
      <c r="A5" t="str">
        <f>Data!A5</f>
        <v>TB5</v>
      </c>
      <c r="B5" t="str">
        <f>Data!B5</f>
        <v>G090 C090 0:46</v>
      </c>
      <c r="C5" t="str">
        <f>Data!C5</f>
        <v>Passed</v>
      </c>
      <c r="D5" s="2">
        <f>IF(ROUND(Data!E5,0)=360,0,ROUND(Data!E5,0))</f>
        <v>90</v>
      </c>
      <c r="E5" s="2">
        <f>IF(ROUND(Data!F5,0)=360,0,ROUND(Data!F5,0))</f>
        <v>90</v>
      </c>
      <c r="F5" s="2">
        <f>IF(ROUND(Data!D5,0)=0,0,ROUND(360-Data!D5,0))</f>
        <v>0</v>
      </c>
      <c r="G5" s="1">
        <f>ROUND(Data!G5,2)</f>
        <v>-0.1</v>
      </c>
      <c r="H5" s="1">
        <f>ROUND(Data!H5,2)</f>
        <v>-0.2</v>
      </c>
      <c r="I5" s="1">
        <f>ROUND(Data!I5,2)</f>
        <v>0.22</v>
      </c>
      <c r="J5" s="1">
        <f>ROUND(Data!J5,2)</f>
        <v>15.17</v>
      </c>
      <c r="K5" s="1">
        <f>ROUND(Data!K5,2)</f>
        <v>15.68</v>
      </c>
      <c r="L5" s="1">
        <f>ROUND(Data!L5,2)</f>
        <v>0</v>
      </c>
      <c r="M5" s="1">
        <f>ROUND(Data!M5,2)</f>
        <v>0</v>
      </c>
      <c r="N5" s="1">
        <f>ROUND(Data!N5,2)</f>
        <v>15.26</v>
      </c>
      <c r="O5" s="1">
        <f>ROUND(Data!O5,2)</f>
        <v>15.88</v>
      </c>
      <c r="P5" s="1">
        <f>ROUND(Data!P5,2)</f>
        <v>5.55</v>
      </c>
      <c r="Q5" s="1">
        <f>ROUND(Data!Q5,2)</f>
        <v>24.79</v>
      </c>
      <c r="R5" s="1">
        <f>ROUND(Data!R5,2)</f>
        <v>5.68</v>
      </c>
      <c r="S5" s="1">
        <f>ROUND(Data!S5,2)</f>
        <v>25.69</v>
      </c>
      <c r="T5" s="1">
        <f>ROUND(Data!T5,2)</f>
        <v>15.17</v>
      </c>
      <c r="U5" s="1">
        <f>ROUND(Data!U5,2)</f>
        <v>15.68</v>
      </c>
      <c r="V5" t="str">
        <f>Data!V5</f>
        <v>QASRSWL2</v>
      </c>
    </row>
    <row r="6" spans="1:22" x14ac:dyDescent="0.3">
      <c r="A6" t="str">
        <f>Data!A6</f>
        <v>TB5</v>
      </c>
      <c r="B6" t="str">
        <f>Data!B6</f>
        <v>G000 C090 1:11</v>
      </c>
      <c r="C6" t="str">
        <f>Data!C6</f>
        <v>Passed</v>
      </c>
      <c r="D6" s="2">
        <f>IF(ROUND(Data!E6,0)=360,0,ROUND(Data!E6,0))</f>
        <v>0</v>
      </c>
      <c r="E6" s="2">
        <f>IF(ROUND(Data!F6,0)=360,0,ROUND(Data!F6,0))</f>
        <v>90</v>
      </c>
      <c r="F6" s="2">
        <f>IF(ROUND(Data!D6,0)=0,0,ROUND(360-Data!D6,0))</f>
        <v>0</v>
      </c>
      <c r="G6" s="1">
        <f>ROUND(Data!G6,2)</f>
        <v>0.38</v>
      </c>
      <c r="H6" s="1">
        <f>ROUND(Data!H6,2)</f>
        <v>-0.44</v>
      </c>
      <c r="I6" s="1">
        <f>ROUND(Data!I6,2)</f>
        <v>0.57999999999999996</v>
      </c>
      <c r="J6" s="1">
        <f>ROUND(Data!J6,2)</f>
        <v>15.22</v>
      </c>
      <c r="K6" s="1">
        <f>ROUND(Data!K6,2)</f>
        <v>15.6</v>
      </c>
      <c r="L6" s="1">
        <f>ROUND(Data!L6,2)</f>
        <v>0</v>
      </c>
      <c r="M6" s="1">
        <f>ROUND(Data!M6,2)</f>
        <v>0</v>
      </c>
      <c r="N6" s="1">
        <f>ROUND(Data!N6,2)</f>
        <v>14.83</v>
      </c>
      <c r="O6" s="1">
        <f>ROUND(Data!O6,2)</f>
        <v>16.03</v>
      </c>
      <c r="P6" s="1">
        <f>ROUND(Data!P6,2)</f>
        <v>5.59</v>
      </c>
      <c r="Q6" s="1">
        <f>ROUND(Data!Q6,2)</f>
        <v>24.84</v>
      </c>
      <c r="R6" s="1">
        <f>ROUND(Data!R6,2)</f>
        <v>5.58</v>
      </c>
      <c r="S6" s="1">
        <f>ROUND(Data!S6,2)</f>
        <v>25.61</v>
      </c>
      <c r="T6" s="1">
        <f>ROUND(Data!T6,2)</f>
        <v>15.22</v>
      </c>
      <c r="U6" s="1">
        <f>ROUND(Data!U6,2)</f>
        <v>15.6</v>
      </c>
      <c r="V6" t="str">
        <f>Data!V6</f>
        <v>QASRSWL2</v>
      </c>
    </row>
    <row r="7" spans="1:22" x14ac:dyDescent="0.3">
      <c r="A7" t="str">
        <f>Data!A7</f>
        <v>TB5</v>
      </c>
      <c r="B7" t="str">
        <f>Data!B7</f>
        <v>G270 C090 1:35</v>
      </c>
      <c r="C7" t="str">
        <f>Data!C7</f>
        <v>Passed</v>
      </c>
      <c r="D7" s="2">
        <f>IF(ROUND(Data!E7,0)=360,0,ROUND(Data!E7,0))</f>
        <v>270</v>
      </c>
      <c r="E7" s="2">
        <f>IF(ROUND(Data!F7,0)=360,0,ROUND(Data!F7,0))</f>
        <v>90</v>
      </c>
      <c r="F7" s="2">
        <f>IF(ROUND(Data!D7,0)=0,0,ROUND(360-Data!D7,0))</f>
        <v>0</v>
      </c>
      <c r="G7" s="1">
        <f>ROUND(Data!G7,2)</f>
        <v>0.03</v>
      </c>
      <c r="H7" s="1">
        <f>ROUND(Data!H7,2)</f>
        <v>-0.18</v>
      </c>
      <c r="I7" s="1">
        <f>ROUND(Data!I7,2)</f>
        <v>0.18</v>
      </c>
      <c r="J7" s="1">
        <f>ROUND(Data!J7,2)</f>
        <v>15.12</v>
      </c>
      <c r="K7" s="1">
        <f>ROUND(Data!K7,2)</f>
        <v>15.56</v>
      </c>
      <c r="L7" s="1">
        <f>ROUND(Data!L7,2)</f>
        <v>0</v>
      </c>
      <c r="M7" s="1">
        <f>ROUND(Data!M7,2)</f>
        <v>0</v>
      </c>
      <c r="N7" s="1">
        <f>ROUND(Data!N7,2)</f>
        <v>15.09</v>
      </c>
      <c r="O7" s="1">
        <f>ROUND(Data!O7,2)</f>
        <v>15.73</v>
      </c>
      <c r="P7" s="1">
        <f>ROUND(Data!P7,2)</f>
        <v>5.49</v>
      </c>
      <c r="Q7" s="1">
        <f>ROUND(Data!Q7,2)</f>
        <v>24.75</v>
      </c>
      <c r="R7" s="1">
        <f>ROUND(Data!R7,2)</f>
        <v>5.56</v>
      </c>
      <c r="S7" s="1">
        <f>ROUND(Data!S7,2)</f>
        <v>25.55</v>
      </c>
      <c r="T7" s="1">
        <f>ROUND(Data!T7,2)</f>
        <v>15.12</v>
      </c>
      <c r="U7" s="1">
        <f>ROUND(Data!U7,2)</f>
        <v>15.56</v>
      </c>
      <c r="V7" t="str">
        <f>Data!V7</f>
        <v>QASRSWL2</v>
      </c>
    </row>
    <row r="8" spans="1:22" x14ac:dyDescent="0.3">
      <c r="A8" t="str">
        <f>Data!A8</f>
        <v>TB5</v>
      </c>
      <c r="B8" t="str">
        <f>Data!B8</f>
        <v>G270 C270 1:56</v>
      </c>
      <c r="C8" t="str">
        <f>Data!C8</f>
        <v>Passed</v>
      </c>
      <c r="D8" s="2">
        <f>IF(ROUND(Data!E8,0)=360,0,ROUND(Data!E8,0))</f>
        <v>270</v>
      </c>
      <c r="E8" s="2">
        <f>IF(ROUND(Data!F8,0)=360,0,ROUND(Data!F8,0))</f>
        <v>270</v>
      </c>
      <c r="F8" s="2">
        <f>IF(ROUND(Data!D8,0)=0,0,ROUND(360-Data!D8,0))</f>
        <v>0</v>
      </c>
      <c r="G8" s="1">
        <f>ROUND(Data!G8,2)</f>
        <v>0.18</v>
      </c>
      <c r="H8" s="1">
        <f>ROUND(Data!H8,2)</f>
        <v>0.1</v>
      </c>
      <c r="I8" s="1">
        <f>ROUND(Data!I8,2)</f>
        <v>0.21</v>
      </c>
      <c r="J8" s="1">
        <f>ROUND(Data!J8,2)</f>
        <v>15.28</v>
      </c>
      <c r="K8" s="1">
        <f>ROUND(Data!K8,2)</f>
        <v>15.6</v>
      </c>
      <c r="L8" s="1">
        <f>ROUND(Data!L8,2)</f>
        <v>0</v>
      </c>
      <c r="M8" s="1">
        <f>ROUND(Data!M8,2)</f>
        <v>0</v>
      </c>
      <c r="N8" s="1">
        <f>ROUND(Data!N8,2)</f>
        <v>15.1</v>
      </c>
      <c r="O8" s="1">
        <f>ROUND(Data!O8,2)</f>
        <v>15.5</v>
      </c>
      <c r="P8" s="1">
        <f>ROUND(Data!P8,2)</f>
        <v>5.64</v>
      </c>
      <c r="Q8" s="1">
        <f>ROUND(Data!Q8,2)</f>
        <v>24.91</v>
      </c>
      <c r="R8" s="1">
        <f>ROUND(Data!R8,2)</f>
        <v>5.61</v>
      </c>
      <c r="S8" s="1">
        <f>ROUND(Data!S8,2)</f>
        <v>25.59</v>
      </c>
      <c r="T8" s="1">
        <f>ROUND(Data!T8,2)</f>
        <v>15.28</v>
      </c>
      <c r="U8" s="1">
        <f>ROUND(Data!U8,2)</f>
        <v>15.6</v>
      </c>
      <c r="V8" t="str">
        <f>Data!V8</f>
        <v>QASRSWL2</v>
      </c>
    </row>
    <row r="9" spans="1:22" x14ac:dyDescent="0.3">
      <c r="A9" t="str">
        <f>Data!A9</f>
        <v>TB5</v>
      </c>
      <c r="B9" t="str">
        <f>Data!B9</f>
        <v>G000 C270 2:28</v>
      </c>
      <c r="C9" t="str">
        <f>Data!C9</f>
        <v>Passed</v>
      </c>
      <c r="D9" s="2">
        <f>IF(ROUND(Data!E9,0)=360,0,ROUND(Data!E9,0))</f>
        <v>0</v>
      </c>
      <c r="E9" s="2">
        <f>IF(ROUND(Data!F9,0)=360,0,ROUND(Data!F9,0))</f>
        <v>270</v>
      </c>
      <c r="F9" s="2">
        <f>IF(ROUND(Data!D9,0)=0,0,ROUND(360-Data!D9,0))</f>
        <v>0</v>
      </c>
      <c r="G9" s="1">
        <f>ROUND(Data!G9,2)</f>
        <v>0.43</v>
      </c>
      <c r="H9" s="1">
        <f>ROUND(Data!H9,2)</f>
        <v>-0.2</v>
      </c>
      <c r="I9" s="1">
        <f>ROUND(Data!I9,2)</f>
        <v>0.48</v>
      </c>
      <c r="J9" s="1">
        <f>ROUND(Data!J9,2)</f>
        <v>15.28</v>
      </c>
      <c r="K9" s="1">
        <f>ROUND(Data!K9,2)</f>
        <v>15.63</v>
      </c>
      <c r="L9" s="1">
        <f>ROUND(Data!L9,2)</f>
        <v>0</v>
      </c>
      <c r="M9" s="1">
        <f>ROUND(Data!M9,2)</f>
        <v>0</v>
      </c>
      <c r="N9" s="1">
        <f>ROUND(Data!N9,2)</f>
        <v>14.85</v>
      </c>
      <c r="O9" s="1">
        <f>ROUND(Data!O9,2)</f>
        <v>15.82</v>
      </c>
      <c r="P9" s="1">
        <f>ROUND(Data!P9,2)</f>
        <v>5.65</v>
      </c>
      <c r="Q9" s="1">
        <f>ROUND(Data!Q9,2)</f>
        <v>24.92</v>
      </c>
      <c r="R9" s="1">
        <f>ROUND(Data!R9,2)</f>
        <v>5.63</v>
      </c>
      <c r="S9" s="1">
        <f>ROUND(Data!S9,2)</f>
        <v>25.62</v>
      </c>
      <c r="T9" s="1">
        <f>ROUND(Data!T9,2)</f>
        <v>15.28</v>
      </c>
      <c r="U9" s="1">
        <f>ROUND(Data!U9,2)</f>
        <v>15.63</v>
      </c>
      <c r="V9" t="str">
        <f>Data!V9</f>
        <v>QASRSWL2</v>
      </c>
    </row>
    <row r="10" spans="1:22" x14ac:dyDescent="0.3">
      <c r="A10" t="str">
        <f>Data!A10</f>
        <v>TB5</v>
      </c>
      <c r="B10" t="str">
        <f>Data!B10</f>
        <v>G090 C270 2:58</v>
      </c>
      <c r="C10" t="str">
        <f>Data!C10</f>
        <v>Passed</v>
      </c>
      <c r="D10" s="2">
        <f>IF(ROUND(Data!E10,0)=360,0,ROUND(Data!E10,0))</f>
        <v>90</v>
      </c>
      <c r="E10" s="2">
        <f>IF(ROUND(Data!F10,0)=360,0,ROUND(Data!F10,0))</f>
        <v>270</v>
      </c>
      <c r="F10" s="2">
        <f>IF(ROUND(Data!D10,0)=0,0,ROUND(360-Data!D10,0))</f>
        <v>0</v>
      </c>
      <c r="G10" s="1">
        <f>ROUND(Data!G10,2)</f>
        <v>0.05</v>
      </c>
      <c r="H10" s="1">
        <f>ROUND(Data!H10,2)</f>
        <v>0.05</v>
      </c>
      <c r="I10" s="1">
        <f>ROUND(Data!I10,2)</f>
        <v>7.0000000000000007E-2</v>
      </c>
      <c r="J10" s="1">
        <f>ROUND(Data!J10,2)</f>
        <v>15.08</v>
      </c>
      <c r="K10" s="1">
        <f>ROUND(Data!K10,2)</f>
        <v>15.45</v>
      </c>
      <c r="L10" s="1">
        <f>ROUND(Data!L10,2)</f>
        <v>0</v>
      </c>
      <c r="M10" s="1">
        <f>ROUND(Data!M10,2)</f>
        <v>0</v>
      </c>
      <c r="N10" s="1">
        <f>ROUND(Data!N10,2)</f>
        <v>15.03</v>
      </c>
      <c r="O10" s="1">
        <f>ROUND(Data!O10,2)</f>
        <v>15.39</v>
      </c>
      <c r="P10" s="1">
        <f>ROUND(Data!P10,2)</f>
        <v>5.45</v>
      </c>
      <c r="Q10" s="1">
        <f>ROUND(Data!Q10,2)</f>
        <v>24.71</v>
      </c>
      <c r="R10" s="1">
        <f>ROUND(Data!R10,2)</f>
        <v>5.47</v>
      </c>
      <c r="S10" s="1">
        <f>ROUND(Data!S10,2)</f>
        <v>25.43</v>
      </c>
      <c r="T10" s="1">
        <f>ROUND(Data!T10,2)</f>
        <v>15.08</v>
      </c>
      <c r="U10" s="1">
        <f>ROUND(Data!U10,2)</f>
        <v>15.45</v>
      </c>
      <c r="V10" t="str">
        <f>Data!V10</f>
        <v>QASRSWL2</v>
      </c>
    </row>
    <row r="11" spans="1:22" x14ac:dyDescent="0.3">
      <c r="A11" t="str">
        <f>Data!A11</f>
        <v>TB5</v>
      </c>
      <c r="B11" t="str">
        <f>Data!B11</f>
        <v>G180 C270 3:24</v>
      </c>
      <c r="C11" t="str">
        <f>Data!C11</f>
        <v>Passed</v>
      </c>
      <c r="D11" s="2">
        <f>IF(ROUND(Data!E11,0)=360,0,ROUND(Data!E11,0))</f>
        <v>180</v>
      </c>
      <c r="E11" s="2">
        <f>IF(ROUND(Data!F11,0)=360,0,ROUND(Data!F11,0))</f>
        <v>270</v>
      </c>
      <c r="F11" s="2">
        <f>IF(ROUND(Data!D11,0)=0,0,ROUND(360-Data!D11,0))</f>
        <v>0</v>
      </c>
      <c r="G11" s="1">
        <f>ROUND(Data!G11,2)</f>
        <v>-0.16</v>
      </c>
      <c r="H11" s="1">
        <f>ROUND(Data!H11,2)</f>
        <v>0.28999999999999998</v>
      </c>
      <c r="I11" s="1">
        <f>ROUND(Data!I11,2)</f>
        <v>0.33</v>
      </c>
      <c r="J11" s="1">
        <f>ROUND(Data!J11,2)</f>
        <v>15.07</v>
      </c>
      <c r="K11" s="1">
        <f>ROUND(Data!K11,2)</f>
        <v>15.62</v>
      </c>
      <c r="L11" s="1">
        <f>ROUND(Data!L11,2)</f>
        <v>0</v>
      </c>
      <c r="M11" s="1">
        <f>ROUND(Data!M11,2)</f>
        <v>0</v>
      </c>
      <c r="N11" s="1">
        <f>ROUND(Data!N11,2)</f>
        <v>15.23</v>
      </c>
      <c r="O11" s="1">
        <f>ROUND(Data!O11,2)</f>
        <v>15.32</v>
      </c>
      <c r="P11" s="1">
        <f>ROUND(Data!P11,2)</f>
        <v>5.45</v>
      </c>
      <c r="Q11" s="1">
        <f>ROUND(Data!Q11,2)</f>
        <v>24.7</v>
      </c>
      <c r="R11" s="1">
        <f>ROUND(Data!R11,2)</f>
        <v>5.63</v>
      </c>
      <c r="S11" s="1">
        <f>ROUND(Data!S11,2)</f>
        <v>25.6</v>
      </c>
      <c r="T11" s="1">
        <f>ROUND(Data!T11,2)</f>
        <v>15.07</v>
      </c>
      <c r="U11" s="1">
        <f>ROUND(Data!U11,2)</f>
        <v>15.62</v>
      </c>
      <c r="V11" t="str">
        <f>Data!V11</f>
        <v>QASRSWL2</v>
      </c>
    </row>
    <row r="12" spans="1:22" x14ac:dyDescent="0.3">
      <c r="A12" t="str">
        <f>Data!A12</f>
        <v>TB5</v>
      </c>
      <c r="B12" t="str">
        <f>Data!B12</f>
        <v>G180 C270 4:15</v>
      </c>
      <c r="C12" t="str">
        <f>Data!C12</f>
        <v>Passed</v>
      </c>
      <c r="D12" s="2">
        <f>IF(ROUND(Data!E12,0)=360,0,ROUND(Data!E12,0))</f>
        <v>180</v>
      </c>
      <c r="E12" s="2">
        <f>IF(ROUND(Data!F12,0)=360,0,ROUND(Data!F12,0))</f>
        <v>270</v>
      </c>
      <c r="F12" s="2">
        <f>IF(ROUND(Data!D12,0)=0,0,ROUND(360-Data!D12,0))</f>
        <v>270</v>
      </c>
      <c r="G12" s="1">
        <f>ROUND(Data!G12,2)</f>
        <v>0.47</v>
      </c>
      <c r="H12" s="1">
        <f>ROUND(Data!H12,2)</f>
        <v>0.22</v>
      </c>
      <c r="I12" s="1">
        <f>ROUND(Data!I12,2)</f>
        <v>0.52</v>
      </c>
      <c r="J12" s="1">
        <f>ROUND(Data!J12,2)</f>
        <v>15.07</v>
      </c>
      <c r="K12" s="1">
        <f>ROUND(Data!K12,2)</f>
        <v>15.61</v>
      </c>
      <c r="L12" s="1">
        <f>ROUND(Data!L12,2)</f>
        <v>0</v>
      </c>
      <c r="M12" s="1">
        <f>ROUND(Data!M12,2)</f>
        <v>0</v>
      </c>
      <c r="N12" s="1">
        <f>ROUND(Data!N12,2)</f>
        <v>14.6</v>
      </c>
      <c r="O12" s="1">
        <f>ROUND(Data!O12,2)</f>
        <v>15.4</v>
      </c>
      <c r="P12" s="1">
        <f>ROUND(Data!P12,2)</f>
        <v>5.44</v>
      </c>
      <c r="Q12" s="1">
        <f>ROUND(Data!Q12,2)</f>
        <v>24.7</v>
      </c>
      <c r="R12" s="1">
        <f>ROUND(Data!R12,2)</f>
        <v>5.63</v>
      </c>
      <c r="S12" s="1">
        <f>ROUND(Data!S12,2)</f>
        <v>25.6</v>
      </c>
      <c r="T12" s="1">
        <f>ROUND(Data!T12,2)</f>
        <v>15.07</v>
      </c>
      <c r="U12" s="1">
        <f>ROUND(Data!U12,2)</f>
        <v>15.61</v>
      </c>
      <c r="V12" t="str">
        <f>Data!V12</f>
        <v>QASRSWL2</v>
      </c>
    </row>
    <row r="13" spans="1:22" x14ac:dyDescent="0.3">
      <c r="A13" t="str">
        <f>Data!A13</f>
        <v>TB5</v>
      </c>
      <c r="B13" t="str">
        <f>Data!B13</f>
        <v>G180 C270 4:46</v>
      </c>
      <c r="C13" t="str">
        <f>Data!C13</f>
        <v>Passed</v>
      </c>
      <c r="D13" s="2">
        <f>IF(ROUND(Data!E13,0)=360,0,ROUND(Data!E13,0))</f>
        <v>180</v>
      </c>
      <c r="E13" s="2">
        <f>IF(ROUND(Data!F13,0)=360,0,ROUND(Data!F13,0))</f>
        <v>270</v>
      </c>
      <c r="F13" s="2">
        <f>IF(ROUND(Data!D13,0)=0,0,ROUND(360-Data!D13,0))</f>
        <v>300</v>
      </c>
      <c r="G13" s="1">
        <f>ROUND(Data!G13,2)</f>
        <v>0.52</v>
      </c>
      <c r="H13" s="1">
        <f>ROUND(Data!H13,2)</f>
        <v>0.35</v>
      </c>
      <c r="I13" s="1">
        <f>ROUND(Data!I13,2)</f>
        <v>0.63</v>
      </c>
      <c r="J13" s="1">
        <f>ROUND(Data!J13,2)</f>
        <v>15.07</v>
      </c>
      <c r="K13" s="1">
        <f>ROUND(Data!K13,2)</f>
        <v>15.63</v>
      </c>
      <c r="L13" s="1">
        <f>ROUND(Data!L13,2)</f>
        <v>0</v>
      </c>
      <c r="M13" s="1">
        <f>ROUND(Data!M13,2)</f>
        <v>0</v>
      </c>
      <c r="N13" s="1">
        <f>ROUND(Data!N13,2)</f>
        <v>14.55</v>
      </c>
      <c r="O13" s="1">
        <f>ROUND(Data!O13,2)</f>
        <v>15.28</v>
      </c>
      <c r="P13" s="1">
        <f>ROUND(Data!P13,2)</f>
        <v>5.43</v>
      </c>
      <c r="Q13" s="1">
        <f>ROUND(Data!Q13,2)</f>
        <v>24.7</v>
      </c>
      <c r="R13" s="1">
        <f>ROUND(Data!R13,2)</f>
        <v>5.64</v>
      </c>
      <c r="S13" s="1">
        <f>ROUND(Data!S13,2)</f>
        <v>25.61</v>
      </c>
      <c r="T13" s="1">
        <f>ROUND(Data!T13,2)</f>
        <v>15.07</v>
      </c>
      <c r="U13" s="1">
        <f>ROUND(Data!U13,2)</f>
        <v>15.63</v>
      </c>
      <c r="V13" t="str">
        <f>Data!V13</f>
        <v>QASRSWL2</v>
      </c>
    </row>
    <row r="14" spans="1:22" x14ac:dyDescent="0.3">
      <c r="A14" t="str">
        <f>Data!A14</f>
        <v>TB5</v>
      </c>
      <c r="B14" t="str">
        <f>Data!B14</f>
        <v>G180 C270 5:07</v>
      </c>
      <c r="C14" t="str">
        <f>Data!C14</f>
        <v>Passed</v>
      </c>
      <c r="D14" s="2">
        <f>IF(ROUND(Data!E14,0)=360,0,ROUND(Data!E14,0))</f>
        <v>180</v>
      </c>
      <c r="E14" s="2">
        <f>IF(ROUND(Data!F14,0)=360,0,ROUND(Data!F14,0))</f>
        <v>270</v>
      </c>
      <c r="F14" s="2">
        <f>IF(ROUND(Data!D14,0)=0,0,ROUND(360-Data!D14,0))</f>
        <v>330</v>
      </c>
      <c r="G14" s="1">
        <f>ROUND(Data!G14,2)</f>
        <v>0.35</v>
      </c>
      <c r="H14" s="1">
        <f>ROUND(Data!H14,2)</f>
        <v>0.36</v>
      </c>
      <c r="I14" s="1">
        <f>ROUND(Data!I14,2)</f>
        <v>0.5</v>
      </c>
      <c r="J14" s="1">
        <f>ROUND(Data!J14,2)</f>
        <v>15.07</v>
      </c>
      <c r="K14" s="1">
        <f>ROUND(Data!K14,2)</f>
        <v>15.63</v>
      </c>
      <c r="L14" s="1">
        <f>ROUND(Data!L14,2)</f>
        <v>0</v>
      </c>
      <c r="M14" s="1">
        <f>ROUND(Data!M14,2)</f>
        <v>0</v>
      </c>
      <c r="N14" s="1">
        <f>ROUND(Data!N14,2)</f>
        <v>14.72</v>
      </c>
      <c r="O14" s="1">
        <f>ROUND(Data!O14,2)</f>
        <v>15.27</v>
      </c>
      <c r="P14" s="1">
        <f>ROUND(Data!P14,2)</f>
        <v>5.44</v>
      </c>
      <c r="Q14" s="1">
        <f>ROUND(Data!Q14,2)</f>
        <v>24.7</v>
      </c>
      <c r="R14" s="1">
        <f>ROUND(Data!R14,2)</f>
        <v>5.64</v>
      </c>
      <c r="S14" s="1">
        <f>ROUND(Data!S14,2)</f>
        <v>25.62</v>
      </c>
      <c r="T14" s="1">
        <f>ROUND(Data!T14,2)</f>
        <v>15.07</v>
      </c>
      <c r="U14" s="1">
        <f>ROUND(Data!U14,2)</f>
        <v>15.63</v>
      </c>
      <c r="V14" t="str">
        <f>Data!V14</f>
        <v>QASRSWL2</v>
      </c>
    </row>
    <row r="15" spans="1:22" x14ac:dyDescent="0.3">
      <c r="A15" t="str">
        <f>Data!A15</f>
        <v>TB5</v>
      </c>
      <c r="B15" t="str">
        <f>Data!B15</f>
        <v>G180 C270 5:41</v>
      </c>
      <c r="C15" t="str">
        <f>Data!C15</f>
        <v>Passed</v>
      </c>
      <c r="D15" s="2">
        <f>IF(ROUND(Data!E15,0)=360,0,ROUND(Data!E15,0))</f>
        <v>180</v>
      </c>
      <c r="E15" s="2">
        <f>IF(ROUND(Data!F15,0)=360,0,ROUND(Data!F15,0))</f>
        <v>270</v>
      </c>
      <c r="F15" s="2">
        <f>IF(ROUND(Data!D15,0)=0,0,ROUND(360-Data!D15,0))</f>
        <v>30</v>
      </c>
      <c r="G15" s="1">
        <f>ROUND(Data!G15,2)</f>
        <v>-0.36</v>
      </c>
      <c r="H15" s="1">
        <f>ROUND(Data!H15,2)</f>
        <v>0.47</v>
      </c>
      <c r="I15" s="1">
        <f>ROUND(Data!I15,2)</f>
        <v>0.59</v>
      </c>
      <c r="J15" s="1">
        <f>ROUND(Data!J15,2)</f>
        <v>15.08</v>
      </c>
      <c r="K15" s="1">
        <f>ROUND(Data!K15,2)</f>
        <v>15.63</v>
      </c>
      <c r="L15" s="1">
        <f>ROUND(Data!L15,2)</f>
        <v>0</v>
      </c>
      <c r="M15" s="1">
        <f>ROUND(Data!M15,2)</f>
        <v>0</v>
      </c>
      <c r="N15" s="1">
        <f>ROUND(Data!N15,2)</f>
        <v>15.44</v>
      </c>
      <c r="O15" s="1">
        <f>ROUND(Data!O15,2)</f>
        <v>15.16</v>
      </c>
      <c r="P15" s="1">
        <f>ROUND(Data!P15,2)</f>
        <v>5.45</v>
      </c>
      <c r="Q15" s="1">
        <f>ROUND(Data!Q15,2)</f>
        <v>24.71</v>
      </c>
      <c r="R15" s="1">
        <f>ROUND(Data!R15,2)</f>
        <v>5.64</v>
      </c>
      <c r="S15" s="1">
        <f>ROUND(Data!S15,2)</f>
        <v>25.62</v>
      </c>
      <c r="T15" s="1">
        <f>ROUND(Data!T15,2)</f>
        <v>15.08</v>
      </c>
      <c r="U15" s="1">
        <f>ROUND(Data!U15,2)</f>
        <v>15.63</v>
      </c>
      <c r="V15" t="str">
        <f>Data!V15</f>
        <v>QASRSWL2</v>
      </c>
    </row>
    <row r="16" spans="1:22" x14ac:dyDescent="0.3">
      <c r="A16" t="str">
        <f>Data!A16</f>
        <v>TB5</v>
      </c>
      <c r="B16" t="str">
        <f>Data!B16</f>
        <v>G180 C270 6:01</v>
      </c>
      <c r="C16" t="str">
        <f>Data!C16</f>
        <v>Passed</v>
      </c>
      <c r="D16" s="2">
        <f>IF(ROUND(Data!E16,0)=360,0,ROUND(Data!E16,0))</f>
        <v>180</v>
      </c>
      <c r="E16" s="2">
        <f>IF(ROUND(Data!F16,0)=360,0,ROUND(Data!F16,0))</f>
        <v>270</v>
      </c>
      <c r="F16" s="2">
        <f>IF(ROUND(Data!D16,0)=0,0,ROUND(360-Data!D16,0))</f>
        <v>60</v>
      </c>
      <c r="G16" s="1">
        <f>ROUND(Data!G16,2)</f>
        <v>-0.25</v>
      </c>
      <c r="H16" s="1">
        <f>ROUND(Data!H16,2)</f>
        <v>0.56999999999999995</v>
      </c>
      <c r="I16" s="1">
        <f>ROUND(Data!I16,2)</f>
        <v>0.62</v>
      </c>
      <c r="J16" s="1">
        <f>ROUND(Data!J16,2)</f>
        <v>15.08</v>
      </c>
      <c r="K16" s="1">
        <f>ROUND(Data!K16,2)</f>
        <v>15.62</v>
      </c>
      <c r="L16" s="1">
        <f>ROUND(Data!L16,2)</f>
        <v>0</v>
      </c>
      <c r="M16" s="1">
        <f>ROUND(Data!M16,2)</f>
        <v>0</v>
      </c>
      <c r="N16" s="1">
        <f>ROUND(Data!N16,2)</f>
        <v>15.33</v>
      </c>
      <c r="O16" s="1">
        <f>ROUND(Data!O16,2)</f>
        <v>15.05</v>
      </c>
      <c r="P16" s="1">
        <f>ROUND(Data!P16,2)</f>
        <v>5.45</v>
      </c>
      <c r="Q16" s="1">
        <f>ROUND(Data!Q16,2)</f>
        <v>24.71</v>
      </c>
      <c r="R16" s="1">
        <f>ROUND(Data!R16,2)</f>
        <v>5.64</v>
      </c>
      <c r="S16" s="1">
        <f>ROUND(Data!S16,2)</f>
        <v>25.61</v>
      </c>
      <c r="T16" s="1">
        <f>ROUND(Data!T16,2)</f>
        <v>15.08</v>
      </c>
      <c r="U16" s="1">
        <f>ROUND(Data!U16,2)</f>
        <v>15.62</v>
      </c>
      <c r="V16" t="str">
        <f>Data!V16</f>
        <v>QASRSWL2</v>
      </c>
    </row>
    <row r="17" spans="1:22" x14ac:dyDescent="0.3">
      <c r="A17" t="str">
        <f>Data!A17</f>
        <v>TB5</v>
      </c>
      <c r="B17" t="str">
        <f>Data!B17</f>
        <v>G180 C270 6:26</v>
      </c>
      <c r="C17" t="str">
        <f>Data!C17</f>
        <v>Passed</v>
      </c>
      <c r="D17" s="2">
        <f>IF(ROUND(Data!E17,0)=360,0,ROUND(Data!E17,0))</f>
        <v>180</v>
      </c>
      <c r="E17" s="2">
        <f>IF(ROUND(Data!F17,0)=360,0,ROUND(Data!F17,0))</f>
        <v>270</v>
      </c>
      <c r="F17" s="2">
        <f>IF(ROUND(Data!D17,0)=0,0,ROUND(360-Data!D17,0))</f>
        <v>90</v>
      </c>
      <c r="G17" s="1">
        <f>ROUND(Data!G17,2)</f>
        <v>-0.36</v>
      </c>
      <c r="H17" s="1">
        <f>ROUND(Data!H17,2)</f>
        <v>0.74</v>
      </c>
      <c r="I17" s="1">
        <f>ROUND(Data!I17,2)</f>
        <v>0.82</v>
      </c>
      <c r="J17" s="1">
        <f>ROUND(Data!J17,2)</f>
        <v>15.3</v>
      </c>
      <c r="K17" s="1">
        <f>ROUND(Data!K17,2)</f>
        <v>15.62</v>
      </c>
      <c r="L17" s="1">
        <f>ROUND(Data!L17,2)</f>
        <v>0</v>
      </c>
      <c r="M17" s="1">
        <f>ROUND(Data!M17,2)</f>
        <v>0</v>
      </c>
      <c r="N17" s="1">
        <f>ROUND(Data!N17,2)</f>
        <v>15.66</v>
      </c>
      <c r="O17" s="1">
        <f>ROUND(Data!O17,2)</f>
        <v>14.88</v>
      </c>
      <c r="P17" s="1">
        <f>ROUND(Data!P17,2)</f>
        <v>5.67</v>
      </c>
      <c r="Q17" s="1">
        <f>ROUND(Data!Q17,2)</f>
        <v>24.92</v>
      </c>
      <c r="R17" s="1">
        <f>ROUND(Data!R17,2)</f>
        <v>5.63</v>
      </c>
      <c r="S17" s="1">
        <f>ROUND(Data!S17,2)</f>
        <v>25.6</v>
      </c>
      <c r="T17" s="1">
        <f>ROUND(Data!T17,2)</f>
        <v>15.3</v>
      </c>
      <c r="U17" s="1">
        <f>ROUND(Data!U17,2)</f>
        <v>15.62</v>
      </c>
      <c r="V17" t="str">
        <f>Data!V17</f>
        <v>QASRSWL2</v>
      </c>
    </row>
    <row r="19" spans="1:22" x14ac:dyDescent="0.3">
      <c r="A19" t="s">
        <v>28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</row>
    <row r="20" spans="1:22" x14ac:dyDescent="0.3">
      <c r="D20" cm="1">
        <f t="array" ref="D20:H34">_xlfn.SORTBY(D3:H17,F3:F17,1,D3:D17,1,E3:E17,1)</f>
        <v>0</v>
      </c>
      <c r="E20">
        <v>90</v>
      </c>
      <c r="F20">
        <v>0</v>
      </c>
      <c r="G20">
        <v>0.38</v>
      </c>
      <c r="H20">
        <v>-0.44</v>
      </c>
    </row>
    <row r="21" spans="1:22" x14ac:dyDescent="0.3">
      <c r="D21">
        <v>0</v>
      </c>
      <c r="E21">
        <v>270</v>
      </c>
      <c r="F21">
        <v>0</v>
      </c>
      <c r="G21">
        <v>0.43</v>
      </c>
      <c r="H21">
        <v>-0.2</v>
      </c>
    </row>
    <row r="22" spans="1:22" x14ac:dyDescent="0.3">
      <c r="D22">
        <v>90</v>
      </c>
      <c r="E22">
        <v>90</v>
      </c>
      <c r="F22">
        <v>0</v>
      </c>
      <c r="G22">
        <v>-0.1</v>
      </c>
      <c r="H22">
        <v>-0.2</v>
      </c>
    </row>
    <row r="23" spans="1:22" x14ac:dyDescent="0.3">
      <c r="D23">
        <v>90</v>
      </c>
      <c r="E23">
        <v>270</v>
      </c>
      <c r="F23">
        <v>0</v>
      </c>
      <c r="G23">
        <v>0.05</v>
      </c>
      <c r="H23">
        <v>0.05</v>
      </c>
    </row>
    <row r="24" spans="1:22" x14ac:dyDescent="0.3">
      <c r="D24">
        <v>180</v>
      </c>
      <c r="E24">
        <v>0</v>
      </c>
      <c r="F24">
        <v>0</v>
      </c>
      <c r="G24">
        <v>-0.19</v>
      </c>
      <c r="H24">
        <v>0.11</v>
      </c>
    </row>
    <row r="25" spans="1:22" x14ac:dyDescent="0.3">
      <c r="D25">
        <v>180</v>
      </c>
      <c r="E25">
        <v>90</v>
      </c>
      <c r="F25">
        <v>0</v>
      </c>
      <c r="G25">
        <v>-0.35</v>
      </c>
      <c r="H25">
        <v>0.05</v>
      </c>
    </row>
    <row r="26" spans="1:22" x14ac:dyDescent="0.3">
      <c r="D26">
        <v>180</v>
      </c>
      <c r="E26">
        <v>270</v>
      </c>
      <c r="F26">
        <v>0</v>
      </c>
      <c r="G26">
        <v>-0.16</v>
      </c>
      <c r="H26">
        <v>0.28999999999999998</v>
      </c>
    </row>
    <row r="27" spans="1:22" x14ac:dyDescent="0.3">
      <c r="D27">
        <v>270</v>
      </c>
      <c r="E27">
        <v>90</v>
      </c>
      <c r="F27">
        <v>0</v>
      </c>
      <c r="G27">
        <v>0.03</v>
      </c>
      <c r="H27">
        <v>-0.18</v>
      </c>
    </row>
    <row r="28" spans="1:22" x14ac:dyDescent="0.3">
      <c r="D28">
        <v>270</v>
      </c>
      <c r="E28">
        <v>270</v>
      </c>
      <c r="F28">
        <v>0</v>
      </c>
      <c r="G28">
        <v>0.18</v>
      </c>
      <c r="H28">
        <v>0.1</v>
      </c>
    </row>
    <row r="29" spans="1:22" x14ac:dyDescent="0.3">
      <c r="D29">
        <v>180</v>
      </c>
      <c r="E29">
        <v>270</v>
      </c>
      <c r="F29">
        <v>30</v>
      </c>
      <c r="G29">
        <v>-0.36</v>
      </c>
      <c r="H29">
        <v>0.47</v>
      </c>
    </row>
    <row r="30" spans="1:22" x14ac:dyDescent="0.3">
      <c r="D30">
        <v>180</v>
      </c>
      <c r="E30">
        <v>270</v>
      </c>
      <c r="F30">
        <v>60</v>
      </c>
      <c r="G30">
        <v>-0.25</v>
      </c>
      <c r="H30">
        <v>0.56999999999999995</v>
      </c>
    </row>
    <row r="31" spans="1:22" x14ac:dyDescent="0.3">
      <c r="D31">
        <v>180</v>
      </c>
      <c r="E31">
        <v>270</v>
      </c>
      <c r="F31">
        <v>90</v>
      </c>
      <c r="G31">
        <v>-0.36</v>
      </c>
      <c r="H31">
        <v>0.74</v>
      </c>
    </row>
    <row r="32" spans="1:22" x14ac:dyDescent="0.3">
      <c r="D32">
        <v>180</v>
      </c>
      <c r="E32">
        <v>270</v>
      </c>
      <c r="F32">
        <v>270</v>
      </c>
      <c r="G32">
        <v>0.47</v>
      </c>
      <c r="H32">
        <v>0.22</v>
      </c>
    </row>
    <row r="33" spans="4:8" x14ac:dyDescent="0.3">
      <c r="D33">
        <v>180</v>
      </c>
      <c r="E33">
        <v>270</v>
      </c>
      <c r="F33">
        <v>300</v>
      </c>
      <c r="G33">
        <v>0.52</v>
      </c>
      <c r="H33">
        <v>0.35</v>
      </c>
    </row>
    <row r="34" spans="4:8" x14ac:dyDescent="0.3">
      <c r="D34">
        <v>180</v>
      </c>
      <c r="E34">
        <v>270</v>
      </c>
      <c r="F34">
        <v>330</v>
      </c>
      <c r="G34">
        <v>0.35</v>
      </c>
      <c r="H34">
        <v>0.36</v>
      </c>
    </row>
    <row r="35" spans="4:8" x14ac:dyDescent="0.3">
      <c r="D35" s="2"/>
    </row>
    <row r="36" spans="4:8" x14ac:dyDescent="0.3">
      <c r="D36" s="2"/>
    </row>
    <row r="37" spans="4:8" x14ac:dyDescent="0.3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="85" zoomScaleNormal="85" workbookViewId="0">
      <selection activeCell="N21" sqref="N21"/>
    </sheetView>
  </sheetViews>
  <sheetFormatPr defaultRowHeight="14.4" x14ac:dyDescent="0.3"/>
  <cols>
    <col min="1" max="1" width="18" bestFit="1" customWidth="1"/>
    <col min="2" max="2" width="15.77734375" bestFit="1" customWidth="1"/>
    <col min="3" max="3" width="11.21875" bestFit="1" customWidth="1"/>
    <col min="4" max="5" width="24.77734375" bestFit="1" customWidth="1"/>
    <col min="15" max="15" width="10.77734375" bestFit="1" customWidth="1"/>
    <col min="16" max="16" width="19.44140625" bestFit="1" customWidth="1"/>
    <col min="19" max="19" width="10.44140625" bestFit="1" customWidth="1"/>
    <col min="21" max="21" width="40.21875" bestFit="1" customWidth="1"/>
  </cols>
  <sheetData>
    <row r="1" spans="1:24" x14ac:dyDescent="0.3">
      <c r="A1" t="s">
        <v>23</v>
      </c>
      <c r="S1" t="s">
        <v>67</v>
      </c>
      <c r="T1">
        <f>IF(OR(I3="",I8="",J5="",J10="",K3="",K5="",K8="",K10=""),"",T2)</f>
        <v>-0.2525</v>
      </c>
    </row>
    <row r="2" spans="1:24" x14ac:dyDescent="0.3">
      <c r="A2" t="s">
        <v>25</v>
      </c>
      <c r="B2" t="s">
        <v>26</v>
      </c>
      <c r="C2" t="s">
        <v>27</v>
      </c>
      <c r="D2" t="s">
        <v>7</v>
      </c>
      <c r="E2" t="s">
        <v>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s="1">
        <f>S3-S4</f>
        <v>-0.13500000000000001</v>
      </c>
      <c r="T2" s="1">
        <f>T3-T4</f>
        <v>-0.2525</v>
      </c>
      <c r="V2" t="s">
        <v>63</v>
      </c>
      <c r="W2" t="s">
        <v>64</v>
      </c>
      <c r="X2" t="s">
        <v>65</v>
      </c>
    </row>
    <row r="3" spans="1:24" x14ac:dyDescent="0.3">
      <c r="A3">
        <f>Preprocess!D20</f>
        <v>0</v>
      </c>
      <c r="B3">
        <f>Preprocess!E20</f>
        <v>90</v>
      </c>
      <c r="C3">
        <v>0</v>
      </c>
      <c r="D3" s="1">
        <f>IF(AND($A3=0,$B3=90,$C3=0),Preprocess!G20,"")</f>
        <v>0.38</v>
      </c>
      <c r="E3" s="1">
        <f>IF(AND($A3=0,$B3=90,$C3=0),Preprocess!H20,"")</f>
        <v>-0.44</v>
      </c>
      <c r="F3" s="1">
        <f>IF(D3="","",D3)</f>
        <v>0.38</v>
      </c>
      <c r="G3" s="1"/>
      <c r="H3" s="1">
        <f>IF(E3="","",-E3)</f>
        <v>0.44</v>
      </c>
      <c r="I3" s="1">
        <f>IF(OR(F3="",F4=""),"",0.5*(F3+F4))</f>
        <v>0.40500000000000003</v>
      </c>
      <c r="J3" s="1"/>
      <c r="K3" s="1">
        <f>IF(OR(H3="",H4=""),"",0.5*(H3+H4))</f>
        <v>0.32</v>
      </c>
      <c r="L3" s="1">
        <f>AVERAGE(I3:I10)</f>
        <v>0.33</v>
      </c>
      <c r="M3" s="1">
        <f>AVERAGE(J3:J10)</f>
        <v>-6.5000000000000002E-2</v>
      </c>
      <c r="N3" s="1">
        <f>AVERAGE(K3:K10)</f>
        <v>6.6250000000000003E-2</v>
      </c>
      <c r="O3" s="1">
        <f>IF(OR(K3="",K8=""),"",K3-K8)</f>
        <v>0.49</v>
      </c>
      <c r="P3" s="1">
        <f>IF(OR(I3="",L3="",J5="",M3="",I8="",J10=""),"",AVERAGE(I3-L3,J5-M3,L3-I8,M3-J10))</f>
        <v>5.7500000000000009E-2</v>
      </c>
      <c r="Q3" s="1">
        <f>F3-I$3</f>
        <v>-2.5000000000000022E-2</v>
      </c>
      <c r="R3" s="1">
        <f>-(H3-K$3)</f>
        <v>-0.12</v>
      </c>
      <c r="S3" s="1">
        <f>AVERAGE(Q3,Q5,Q8,Q10)</f>
        <v>-6.7500000000000004E-2</v>
      </c>
      <c r="T3" s="1">
        <f>AVERAGE(R3,R5,R8,R10)</f>
        <v>-0.12625</v>
      </c>
      <c r="U3" t="s">
        <v>61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3">
      <c r="A4">
        <f>Preprocess!D21</f>
        <v>0</v>
      </c>
      <c r="B4">
        <f>Preprocess!E21</f>
        <v>270</v>
      </c>
      <c r="C4">
        <f>Preprocess!F21</f>
        <v>0</v>
      </c>
      <c r="D4" s="1">
        <f>IF(AND($A4=0,$B4=270,$C4=0),Preprocess!G21,"")</f>
        <v>0.43</v>
      </c>
      <c r="E4" s="1">
        <f>IF(AND($A4=0,$B4=270,$C4=0),Preprocess!H21,"")</f>
        <v>-0.2</v>
      </c>
      <c r="F4" s="1">
        <f>IF(D4="","",D4)</f>
        <v>0.43</v>
      </c>
      <c r="G4" s="1"/>
      <c r="H4" s="1">
        <f t="shared" ref="H4:H11" si="0">IF(E4="","",-E4)</f>
        <v>0.2</v>
      </c>
      <c r="I4" s="1"/>
      <c r="J4" s="1"/>
      <c r="K4" s="1"/>
      <c r="L4" s="1"/>
      <c r="M4" s="1"/>
      <c r="N4" s="1"/>
      <c r="O4" s="1"/>
      <c r="Q4" s="1">
        <f>F4-I$3</f>
        <v>2.4999999999999967E-2</v>
      </c>
      <c r="R4" s="1">
        <f>-(H4-K$3)</f>
        <v>0.12</v>
      </c>
      <c r="S4" s="1">
        <f>AVERAGE(Q4,Q6,Q9,Q11)</f>
        <v>6.7499999999999991E-2</v>
      </c>
      <c r="T4" s="1">
        <f>AVERAGE(R4,R6,R9,R11)</f>
        <v>0.12625</v>
      </c>
      <c r="U4" t="s">
        <v>66</v>
      </c>
      <c r="V4" s="1">
        <f>Analysis!L3</f>
        <v>0.33</v>
      </c>
      <c r="W4" s="1">
        <f>Analysis!M3</f>
        <v>-6.5000000000000002E-2</v>
      </c>
      <c r="X4" s="1">
        <f>Analysis!N3</f>
        <v>6.6250000000000003E-2</v>
      </c>
    </row>
    <row r="5" spans="1:24" x14ac:dyDescent="0.3">
      <c r="A5">
        <f>Preprocess!D22</f>
        <v>90</v>
      </c>
      <c r="B5">
        <f>Preprocess!E22</f>
        <v>90</v>
      </c>
      <c r="C5">
        <f>Preprocess!F22</f>
        <v>0</v>
      </c>
      <c r="D5" s="1">
        <f>IF(AND($A5=90,$B5=90,$C5=0),Preprocess!G22,"")</f>
        <v>-0.1</v>
      </c>
      <c r="E5" s="1">
        <f>IF(AND($A5=90,$B5=90,$C5=0),Preprocess!H22,"")</f>
        <v>-0.2</v>
      </c>
      <c r="F5" s="1"/>
      <c r="G5" s="1">
        <f>IF(D5="","",D5)</f>
        <v>-0.1</v>
      </c>
      <c r="H5" s="1">
        <f t="shared" si="0"/>
        <v>0.2</v>
      </c>
      <c r="I5" s="1"/>
      <c r="J5" s="1">
        <f>IF(OR(G5="",G6=""),"",0.5*(G5+G6))</f>
        <v>-2.5000000000000001E-2</v>
      </c>
      <c r="K5" s="1">
        <f>IF(OR(H5="",H6=""),"",0.5*(H5+H6))</f>
        <v>7.5000000000000011E-2</v>
      </c>
      <c r="L5" s="1"/>
      <c r="M5" s="1"/>
      <c r="N5" s="1"/>
      <c r="O5" s="34"/>
      <c r="P5" s="1"/>
      <c r="Q5" s="1">
        <f>G5-J$5</f>
        <v>-7.5000000000000011E-2</v>
      </c>
      <c r="R5" s="1">
        <f>-(H5-K$5)</f>
        <v>-0.125</v>
      </c>
      <c r="U5" t="s">
        <v>62</v>
      </c>
      <c r="V5" s="1">
        <f>Analysis!N14</f>
        <v>0.34622559516240031</v>
      </c>
      <c r="W5" s="1"/>
      <c r="X5" s="1">
        <f>Analysis!O14</f>
        <v>0.334852137126395</v>
      </c>
    </row>
    <row r="6" spans="1:24" x14ac:dyDescent="0.3">
      <c r="A6">
        <f>Preprocess!D23</f>
        <v>90</v>
      </c>
      <c r="B6">
        <f>Preprocess!E23</f>
        <v>270</v>
      </c>
      <c r="C6">
        <f>Preprocess!F23</f>
        <v>0</v>
      </c>
      <c r="D6" s="1">
        <f>IF(AND($A6=90,$B6=270,$C6=0),Preprocess!G23,"")</f>
        <v>0.05</v>
      </c>
      <c r="E6" s="1">
        <f>IF(AND($A6=90,$B6=270,$C6=0),Preprocess!H23,"")</f>
        <v>0.05</v>
      </c>
      <c r="F6" s="1"/>
      <c r="G6" s="1">
        <f>IF(D6="","",D6)</f>
        <v>0.05</v>
      </c>
      <c r="H6" s="1">
        <f t="shared" si="0"/>
        <v>-0.05</v>
      </c>
      <c r="I6" s="1"/>
      <c r="J6" s="1"/>
      <c r="K6" s="1"/>
      <c r="L6" s="1"/>
      <c r="M6" s="36" t="s">
        <v>115</v>
      </c>
      <c r="N6" s="34" t="s">
        <v>116</v>
      </c>
      <c r="O6" s="34" t="s">
        <v>117</v>
      </c>
      <c r="P6" s="1"/>
      <c r="Q6" s="1">
        <f>G6-J$5</f>
        <v>7.5000000000000011E-2</v>
      </c>
      <c r="R6" s="1">
        <f>-(H6-K$5)</f>
        <v>0.125</v>
      </c>
    </row>
    <row r="7" spans="1:24" ht="15" thickBot="1" x14ac:dyDescent="0.35">
      <c r="A7">
        <f>Preprocess!D24</f>
        <v>180</v>
      </c>
      <c r="B7">
        <f>Preprocess!E24</f>
        <v>0</v>
      </c>
      <c r="C7">
        <f>Preprocess!F24</f>
        <v>0</v>
      </c>
      <c r="D7" s="1">
        <f>IF(AND($A7=180,$B7=0,$C7=0),Preprocess!G24,"")</f>
        <v>-0.19</v>
      </c>
      <c r="E7" s="1">
        <f>IF(AND($A7=180,$B7=0,$C7=0),Preprocess!H24,"")</f>
        <v>0.11</v>
      </c>
      <c r="F7" s="1">
        <f>IF(D7="","",-D7)</f>
        <v>0.19</v>
      </c>
      <c r="G7" s="1"/>
      <c r="H7" s="1">
        <f t="shared" si="0"/>
        <v>-0.11</v>
      </c>
      <c r="I7" s="1"/>
      <c r="J7" s="1"/>
      <c r="K7" s="1"/>
      <c r="L7" s="1"/>
      <c r="M7" s="34">
        <f>MAX(I3:I11)-MIN(I3:I11)</f>
        <v>0.15000000000000002</v>
      </c>
      <c r="N7" s="34">
        <f t="shared" ref="N7:O7" si="1">MAX(J3:J11)-MIN(J3:J11)</f>
        <v>7.9999999999999988E-2</v>
      </c>
      <c r="O7" s="34">
        <f t="shared" si="1"/>
        <v>0.49</v>
      </c>
      <c r="P7" s="1"/>
      <c r="Q7" s="1">
        <f>-(F7-I$8)</f>
        <v>6.5000000000000002E-2</v>
      </c>
      <c r="R7" s="1">
        <f>-(H7-K$8)</f>
        <v>-5.9999999999999984E-2</v>
      </c>
    </row>
    <row r="8" spans="1:24" ht="15" thickBot="1" x14ac:dyDescent="0.35">
      <c r="A8">
        <f>Preprocess!D25</f>
        <v>180</v>
      </c>
      <c r="B8">
        <f>Preprocess!E25</f>
        <v>90</v>
      </c>
      <c r="C8">
        <f>Preprocess!F25</f>
        <v>0</v>
      </c>
      <c r="D8" s="1">
        <f>IF(AND($A8=180,$B8=90,$C8=0),Preprocess!G25,"")</f>
        <v>-0.35</v>
      </c>
      <c r="E8" s="1">
        <f>IF(AND($A8=180,$B8=90,$C8=0),Preprocess!H25,"")</f>
        <v>0.05</v>
      </c>
      <c r="F8" s="1">
        <f>IF(D8="","",-D8)</f>
        <v>0.35</v>
      </c>
      <c r="G8" s="1"/>
      <c r="H8" s="1">
        <f t="shared" si="0"/>
        <v>-0.05</v>
      </c>
      <c r="I8" s="1">
        <f>IF(OR(F8="",F9=""),"",0.5*(F8+F9))</f>
        <v>0.255</v>
      </c>
      <c r="J8" s="1"/>
      <c r="K8" s="1">
        <f>IF(OR(H8="",H9=""),"",0.5*(H8+H9))</f>
        <v>-0.16999999999999998</v>
      </c>
      <c r="L8" s="1"/>
      <c r="M8" s="1"/>
      <c r="N8" s="1"/>
      <c r="O8" s="35">
        <f>SQRT((M7)^2+(N7)^2+(O7)^2)/2</f>
        <v>0.25932604959779876</v>
      </c>
      <c r="P8" t="s">
        <v>114</v>
      </c>
      <c r="Q8" s="1">
        <f>-(F8-I$8)</f>
        <v>-9.4999999999999973E-2</v>
      </c>
      <c r="R8" s="1">
        <f t="shared" ref="R8:R9" si="2">-(H8-K$8)</f>
        <v>-0.11999999999999998</v>
      </c>
    </row>
    <row r="9" spans="1:24" x14ac:dyDescent="0.3">
      <c r="A9">
        <f>Preprocess!D26</f>
        <v>180</v>
      </c>
      <c r="B9">
        <f>Preprocess!E26</f>
        <v>270</v>
      </c>
      <c r="C9">
        <f>Preprocess!F26</f>
        <v>0</v>
      </c>
      <c r="D9" s="1">
        <f>IF(AND($A9=180,$B9=270,$C9=0),Preprocess!G26,"")</f>
        <v>-0.16</v>
      </c>
      <c r="E9" s="1">
        <f>IF(AND($A9=180,$B9=270,$C9=0),Preprocess!H26,"")</f>
        <v>0.28999999999999998</v>
      </c>
      <c r="F9" s="1">
        <f>IF(D9="","",-D9)</f>
        <v>0.16</v>
      </c>
      <c r="G9" s="1"/>
      <c r="H9" s="1">
        <f t="shared" si="0"/>
        <v>-0.28999999999999998</v>
      </c>
      <c r="I9" s="1"/>
      <c r="J9" s="1"/>
      <c r="K9" s="1"/>
      <c r="L9" s="1"/>
      <c r="M9" s="1"/>
      <c r="N9" s="1"/>
      <c r="O9" s="1"/>
      <c r="Q9" s="1">
        <f>-(F9-I$8)</f>
        <v>9.5000000000000001E-2</v>
      </c>
      <c r="R9" s="1">
        <f t="shared" si="2"/>
        <v>0.12</v>
      </c>
    </row>
    <row r="10" spans="1:24" x14ac:dyDescent="0.3">
      <c r="A10">
        <f>Preprocess!D27</f>
        <v>270</v>
      </c>
      <c r="B10">
        <f>Preprocess!E27</f>
        <v>90</v>
      </c>
      <c r="C10">
        <f>Preprocess!F27</f>
        <v>0</v>
      </c>
      <c r="D10" s="1">
        <f>IF(AND($A10=270,$B10=90,$C10=0),Preprocess!G27,"")</f>
        <v>0.03</v>
      </c>
      <c r="E10" s="1">
        <f>IF(AND($A10=270,$B10=90,$C10=0),Preprocess!H27,"")</f>
        <v>-0.18</v>
      </c>
      <c r="F10" s="1"/>
      <c r="G10" s="1">
        <f>IF(D10="","",-D10)</f>
        <v>-0.03</v>
      </c>
      <c r="H10" s="1">
        <f t="shared" si="0"/>
        <v>0.18</v>
      </c>
      <c r="I10" s="1"/>
      <c r="J10" s="1">
        <f>IF(OR(G10="",G11=""),"",0.5*(G10+G11))</f>
        <v>-0.105</v>
      </c>
      <c r="K10" s="1">
        <f>IF(OR(H10="",H11=""),"",0.5*(H10+H11))</f>
        <v>3.9999999999999994E-2</v>
      </c>
      <c r="L10" s="1"/>
      <c r="M10" s="1"/>
      <c r="N10" s="1"/>
      <c r="O10" s="1"/>
      <c r="Q10" s="1">
        <f>-(G10-J$10)</f>
        <v>-7.4999999999999997E-2</v>
      </c>
      <c r="R10" s="1">
        <f>-(H10-K$10)</f>
        <v>-0.14000000000000001</v>
      </c>
    </row>
    <row r="11" spans="1:24" ht="15" thickBot="1" x14ac:dyDescent="0.35">
      <c r="A11">
        <f>Preprocess!D28</f>
        <v>270</v>
      </c>
      <c r="B11">
        <f>Preprocess!E28</f>
        <v>270</v>
      </c>
      <c r="C11">
        <f>Preprocess!F28</f>
        <v>0</v>
      </c>
      <c r="D11" s="1">
        <f>IF(AND($A11=270,$B11=270,$C11=0),Preprocess!G28,"")</f>
        <v>0.18</v>
      </c>
      <c r="E11" s="1">
        <f>IF(AND($A11=270,$B11=270,$C11=0),Preprocess!H28,"")</f>
        <v>0.1</v>
      </c>
      <c r="F11" s="1"/>
      <c r="G11" s="1">
        <f>IF(D11="","",-D11)</f>
        <v>-0.18</v>
      </c>
      <c r="H11" s="1">
        <f t="shared" si="0"/>
        <v>-0.1</v>
      </c>
      <c r="I11" s="1"/>
      <c r="J11" s="1"/>
      <c r="K11" s="1"/>
      <c r="L11" s="1"/>
      <c r="M11" s="1"/>
      <c r="N11" s="1"/>
      <c r="O11" s="1"/>
      <c r="Q11" s="1">
        <f>-(G11-J$10)</f>
        <v>7.4999999999999997E-2</v>
      </c>
      <c r="R11" s="1">
        <f>-(H11-K$10)</f>
        <v>0.14000000000000001</v>
      </c>
    </row>
    <row r="12" spans="1:24" ht="15" thickBot="1" x14ac:dyDescent="0.35">
      <c r="K12" s="1">
        <f>MAX(MAX(J14:J19)-MIN(J14:J19),MAX(K14:K19)-MIN(K14:K19))</f>
        <v>0.32735544166170971</v>
      </c>
      <c r="O12" s="42" t="s">
        <v>84</v>
      </c>
      <c r="P12" s="42"/>
      <c r="Q12" s="13" t="s">
        <v>80</v>
      </c>
      <c r="R12" s="4">
        <f>MAX(R14:R20)</f>
        <v>4.5926083653728716E-2</v>
      </c>
      <c r="S12" t="s">
        <v>118</v>
      </c>
    </row>
    <row r="13" spans="1:24" ht="15" thickBot="1" x14ac:dyDescent="0.35">
      <c r="A13" t="s">
        <v>24</v>
      </c>
      <c r="F13" t="s">
        <v>29</v>
      </c>
      <c r="G13" t="s">
        <v>31</v>
      </c>
      <c r="H13" t="s">
        <v>42</v>
      </c>
      <c r="I13" t="s">
        <v>43</v>
      </c>
      <c r="J13" t="s">
        <v>46</v>
      </c>
      <c r="K13" t="s">
        <v>47</v>
      </c>
      <c r="L13" t="s">
        <v>48</v>
      </c>
      <c r="M13" t="s">
        <v>49</v>
      </c>
      <c r="N13" t="s">
        <v>44</v>
      </c>
      <c r="O13" t="s">
        <v>45</v>
      </c>
      <c r="P13" t="s">
        <v>50</v>
      </c>
      <c r="Q13" t="s">
        <v>51</v>
      </c>
      <c r="R13" t="s">
        <v>52</v>
      </c>
    </row>
    <row r="14" spans="1:24" ht="15" thickBot="1" x14ac:dyDescent="0.35">
      <c r="A14">
        <f>Preprocess!D26</f>
        <v>180</v>
      </c>
      <c r="B14">
        <f>Preprocess!E26</f>
        <v>270</v>
      </c>
      <c r="C14">
        <f>Preprocess!F26</f>
        <v>0</v>
      </c>
      <c r="D14" s="1">
        <f>IF(AND($A14=180,$B14=270,$C14=0),Preprocess!G26,"")</f>
        <v>-0.16</v>
      </c>
      <c r="E14" s="1">
        <f>IF(AND($A14=180,$B14=270,$C14=0),Preprocess!H26,"")</f>
        <v>0.28999999999999998</v>
      </c>
      <c r="F14" s="1">
        <f>IF(D14="","",-D14)</f>
        <v>0.16</v>
      </c>
      <c r="G14" s="1">
        <f>IF(E14="","",-E14)</f>
        <v>-0.28999999999999998</v>
      </c>
      <c r="H14" s="1">
        <f>F$14-F14</f>
        <v>0</v>
      </c>
      <c r="I14" s="1">
        <f>G$14-G14</f>
        <v>0</v>
      </c>
      <c r="J14" s="1">
        <f>H14+L14</f>
        <v>0.20124697086612989</v>
      </c>
      <c r="K14" s="1">
        <f t="shared" ref="J14:K20" si="3">I14+M14</f>
        <v>0.35063993190730181</v>
      </c>
      <c r="L14" s="3">
        <v>0.20124697086612989</v>
      </c>
      <c r="M14" s="3">
        <v>0.35063993190730181</v>
      </c>
      <c r="N14" s="46">
        <v>0.34622559516240031</v>
      </c>
      <c r="O14" s="46">
        <v>0.334852137126395</v>
      </c>
      <c r="P14" s="5">
        <f>J14-N$14</f>
        <v>-0.14497862429627043</v>
      </c>
      <c r="Q14" s="6">
        <f t="shared" ref="P14:Q20" si="4">K14-O$14</f>
        <v>1.5787794780906805E-2</v>
      </c>
      <c r="R14" s="11">
        <f>IF(OR(D14="",E14=""),"",P14^2+Q14^2)</f>
        <v>2.1268055966883161E-2</v>
      </c>
    </row>
    <row r="15" spans="1:24" x14ac:dyDescent="0.3">
      <c r="A15">
        <f>Preprocess!D29</f>
        <v>180</v>
      </c>
      <c r="B15">
        <f>Preprocess!E29</f>
        <v>270</v>
      </c>
      <c r="C15">
        <f>Preprocess!F29</f>
        <v>30</v>
      </c>
      <c r="D15" s="1">
        <f>IF(AND($A15=180,$B15=270),Preprocess!G29,"")</f>
        <v>-0.36</v>
      </c>
      <c r="E15" s="1">
        <f>IF(AND($A15=180,$B15=270),Preprocess!H29,"")</f>
        <v>0.47</v>
      </c>
      <c r="F15" s="1">
        <f t="shared" ref="F15:F20" si="5">IF(D15="","",-D15)</f>
        <v>0.36</v>
      </c>
      <c r="G15" s="1">
        <f t="shared" ref="G15:G20" si="6">IF(E15="","",-E15)</f>
        <v>-0.47</v>
      </c>
      <c r="H15" s="1">
        <f t="shared" ref="H15:H19" si="7">F$14-F15</f>
        <v>-0.19999999999999998</v>
      </c>
      <c r="I15" s="1">
        <f t="shared" ref="I15:I20" si="8">G$14-G15</f>
        <v>0.18</v>
      </c>
      <c r="J15" s="1">
        <f t="shared" si="3"/>
        <v>0.1496049551583862</v>
      </c>
      <c r="K15" s="1">
        <f t="shared" si="3"/>
        <v>0.38303960317990421</v>
      </c>
      <c r="L15" s="5">
        <f t="shared" ref="L15:L20" si="9">L$14*COS(C15*PI()/180)+M$14*SIN(C15*PI()/180)</f>
        <v>0.34960495515838619</v>
      </c>
      <c r="M15" s="6">
        <f t="shared" ref="M15:M20" si="10">M$14*COS(C15*PI()/180)-L$14*SIN(C15*PI()/180)</f>
        <v>0.20303960317990422</v>
      </c>
      <c r="P15" s="7">
        <f>J15-N$14</f>
        <v>-0.19662064000401411</v>
      </c>
      <c r="Q15" s="8">
        <f t="shared" si="4"/>
        <v>4.8187466053509209E-2</v>
      </c>
      <c r="R15" s="12">
        <f t="shared" ref="R15:R20" si="11">IF(OR(D15="",E15=""),"",P15^2+Q15^2)</f>
        <v>4.0981707960246222E-2</v>
      </c>
      <c r="U15" s="1"/>
    </row>
    <row r="16" spans="1:24" x14ac:dyDescent="0.3">
      <c r="A16">
        <f>Preprocess!D30</f>
        <v>180</v>
      </c>
      <c r="B16">
        <f>Preprocess!E30</f>
        <v>270</v>
      </c>
      <c r="C16">
        <f>Preprocess!F30</f>
        <v>60</v>
      </c>
      <c r="D16" s="1">
        <f>IF(AND($A16=180,$B16=270),Preprocess!G30,"")</f>
        <v>-0.25</v>
      </c>
      <c r="E16" s="1">
        <f>IF(AND($A16=180,$B16=270),Preprocess!H30,"")</f>
        <v>0.56999999999999995</v>
      </c>
      <c r="F16" s="1">
        <f t="shared" si="5"/>
        <v>0.25</v>
      </c>
      <c r="G16" s="1">
        <f t="shared" si="6"/>
        <v>-0.56999999999999995</v>
      </c>
      <c r="H16" s="1">
        <f t="shared" si="7"/>
        <v>-0.09</v>
      </c>
      <c r="I16" s="1">
        <f t="shared" si="8"/>
        <v>0.27999999999999997</v>
      </c>
      <c r="J16" s="1">
        <f t="shared" si="3"/>
        <v>0.31428657404603411</v>
      </c>
      <c r="K16" s="1">
        <f t="shared" si="3"/>
        <v>0.28103497674891564</v>
      </c>
      <c r="L16" s="7">
        <f t="shared" si="9"/>
        <v>0.40428657404603408</v>
      </c>
      <c r="M16" s="8">
        <f t="shared" si="10"/>
        <v>1.0349767489156447E-3</v>
      </c>
      <c r="P16" s="7">
        <f>J16-N$14</f>
        <v>-3.1939021116366206E-2</v>
      </c>
      <c r="Q16" s="8">
        <f t="shared" si="4"/>
        <v>-5.3817160377479356E-2</v>
      </c>
      <c r="R16" s="12">
        <f t="shared" si="11"/>
        <v>3.9163878209670204E-3</v>
      </c>
      <c r="U16" s="1"/>
    </row>
    <row r="17" spans="1:21" x14ac:dyDescent="0.3">
      <c r="A17">
        <f>Preprocess!D31</f>
        <v>180</v>
      </c>
      <c r="B17">
        <f>Preprocess!E31</f>
        <v>270</v>
      </c>
      <c r="C17">
        <f>Preprocess!F31</f>
        <v>90</v>
      </c>
      <c r="D17" s="1">
        <f>IF(AND($A17=180,$B17=270),Preprocess!G31,"")</f>
        <v>-0.36</v>
      </c>
      <c r="E17" s="1">
        <f>IF(AND($A17=180,$B17=270),Preprocess!H31,"")</f>
        <v>0.74</v>
      </c>
      <c r="F17" s="1">
        <f t="shared" si="5"/>
        <v>0.36</v>
      </c>
      <c r="G17" s="1">
        <f t="shared" si="6"/>
        <v>-0.74</v>
      </c>
      <c r="H17" s="1">
        <f t="shared" si="7"/>
        <v>-0.19999999999999998</v>
      </c>
      <c r="I17" s="1">
        <f t="shared" si="8"/>
        <v>0.45</v>
      </c>
      <c r="J17" s="1">
        <f t="shared" si="3"/>
        <v>0.15063993190730182</v>
      </c>
      <c r="K17" s="1">
        <f t="shared" si="3"/>
        <v>0.24875302913387015</v>
      </c>
      <c r="L17" s="7">
        <f t="shared" si="9"/>
        <v>0.35063993190730181</v>
      </c>
      <c r="M17" s="8">
        <f t="shared" si="10"/>
        <v>-0.20124697086612986</v>
      </c>
      <c r="P17" s="7">
        <f t="shared" si="4"/>
        <v>-0.19558566325509849</v>
      </c>
      <c r="Q17" s="8">
        <f t="shared" si="4"/>
        <v>-8.6099107992524848E-2</v>
      </c>
      <c r="R17" s="12">
        <f t="shared" si="11"/>
        <v>4.5666808068045239E-2</v>
      </c>
      <c r="U17" s="1"/>
    </row>
    <row r="18" spans="1:21" x14ac:dyDescent="0.3">
      <c r="A18">
        <f>Preprocess!D32</f>
        <v>180</v>
      </c>
      <c r="B18">
        <f>Preprocess!E32</f>
        <v>270</v>
      </c>
      <c r="C18">
        <f>Preprocess!F32</f>
        <v>270</v>
      </c>
      <c r="D18" s="1">
        <f>IF(AND($A18=180,$B18=270),Preprocess!G32,"")</f>
        <v>0.47</v>
      </c>
      <c r="E18" s="1">
        <f>IF(AND($A18=180,$B18=270),Preprocess!H32,"")</f>
        <v>0.22</v>
      </c>
      <c r="F18" s="1">
        <f t="shared" si="5"/>
        <v>-0.47</v>
      </c>
      <c r="G18" s="1">
        <f t="shared" si="6"/>
        <v>-0.22</v>
      </c>
      <c r="H18" s="1">
        <f t="shared" si="7"/>
        <v>0.63</v>
      </c>
      <c r="I18" s="1">
        <f t="shared" si="8"/>
        <v>-6.9999999999999979E-2</v>
      </c>
      <c r="J18" s="1">
        <f t="shared" si="3"/>
        <v>0.27936006809269814</v>
      </c>
      <c r="K18" s="1">
        <f t="shared" si="3"/>
        <v>0.13124697086612985</v>
      </c>
      <c r="L18" s="7">
        <f t="shared" si="9"/>
        <v>-0.35063993190730186</v>
      </c>
      <c r="M18" s="8">
        <f t="shared" si="10"/>
        <v>0.20124697086612983</v>
      </c>
      <c r="P18" s="7">
        <f t="shared" si="4"/>
        <v>-6.6865527069702169E-2</v>
      </c>
      <c r="Q18" s="8">
        <f t="shared" si="4"/>
        <v>-0.20360516626026515</v>
      </c>
      <c r="R18" s="12">
        <f t="shared" si="11"/>
        <v>4.5926062438179288E-2</v>
      </c>
      <c r="U18" s="1"/>
    </row>
    <row r="19" spans="1:21" x14ac:dyDescent="0.3">
      <c r="A19">
        <f>Preprocess!D33</f>
        <v>180</v>
      </c>
      <c r="B19">
        <f>Preprocess!E33</f>
        <v>270</v>
      </c>
      <c r="C19">
        <f>Preprocess!F33</f>
        <v>300</v>
      </c>
      <c r="D19" s="1">
        <f>IF(AND($A19=180,$B19=270),Preprocess!G33,"")</f>
        <v>0.52</v>
      </c>
      <c r="E19" s="1">
        <f>IF(AND($A19=180,$B19=270),Preprocess!H33,"")</f>
        <v>0.35</v>
      </c>
      <c r="F19" s="1">
        <f t="shared" si="5"/>
        <v>-0.52</v>
      </c>
      <c r="G19" s="1">
        <f t="shared" si="6"/>
        <v>-0.35</v>
      </c>
      <c r="H19" s="1">
        <f t="shared" si="7"/>
        <v>0.68</v>
      </c>
      <c r="I19" s="1">
        <f t="shared" si="8"/>
        <v>0.06</v>
      </c>
      <c r="J19" s="1">
        <f t="shared" si="3"/>
        <v>0.47696039682009594</v>
      </c>
      <c r="K19" s="1">
        <f t="shared" si="3"/>
        <v>0.40960495515838619</v>
      </c>
      <c r="L19" s="7">
        <f t="shared" si="9"/>
        <v>-0.2030396031799041</v>
      </c>
      <c r="M19" s="8">
        <f t="shared" si="10"/>
        <v>0.34960495515838619</v>
      </c>
      <c r="P19" s="7">
        <f t="shared" si="4"/>
        <v>0.13073480165769563</v>
      </c>
      <c r="Q19" s="8">
        <f t="shared" si="4"/>
        <v>7.4752818031991186E-2</v>
      </c>
      <c r="R19" s="12">
        <f t="shared" si="11"/>
        <v>2.2679572168201004E-2</v>
      </c>
      <c r="U19" s="1"/>
    </row>
    <row r="20" spans="1:21" ht="15" thickBot="1" x14ac:dyDescent="0.35">
      <c r="A20">
        <f>Preprocess!D34</f>
        <v>180</v>
      </c>
      <c r="B20">
        <f>Preprocess!E34</f>
        <v>270</v>
      </c>
      <c r="C20">
        <f>Preprocess!F34</f>
        <v>330</v>
      </c>
      <c r="D20" s="1">
        <f>IF(AND($A20=180,$B20=270),Preprocess!G34,"")</f>
        <v>0.35</v>
      </c>
      <c r="E20" s="1">
        <f>IF(AND($A20=180,$B20=270),Preprocess!H34,"")</f>
        <v>0.36</v>
      </c>
      <c r="F20" s="1">
        <f t="shared" si="5"/>
        <v>-0.35</v>
      </c>
      <c r="G20" s="1">
        <f t="shared" si="6"/>
        <v>-0.36</v>
      </c>
      <c r="H20" s="1">
        <f>F$14-F20</f>
        <v>0.51</v>
      </c>
      <c r="I20" s="1">
        <f t="shared" si="8"/>
        <v>7.0000000000000007E-2</v>
      </c>
      <c r="J20" s="1">
        <f t="shared" si="3"/>
        <v>0.50896502325108417</v>
      </c>
      <c r="K20" s="1">
        <f t="shared" si="3"/>
        <v>0.47428657404603408</v>
      </c>
      <c r="L20" s="9">
        <f t="shared" si="9"/>
        <v>-1.034976748915839E-3</v>
      </c>
      <c r="M20" s="10">
        <f t="shared" si="10"/>
        <v>0.40428657404603408</v>
      </c>
      <c r="P20" s="9">
        <f t="shared" si="4"/>
        <v>0.16273942808868386</v>
      </c>
      <c r="Q20" s="10">
        <f t="shared" si="4"/>
        <v>0.13943443691963908</v>
      </c>
      <c r="R20" s="12">
        <f t="shared" si="11"/>
        <v>4.5926083653728716E-2</v>
      </c>
      <c r="U20" s="1"/>
    </row>
    <row r="21" spans="1:21" x14ac:dyDescent="0.3">
      <c r="L21" s="38" t="s">
        <v>81</v>
      </c>
      <c r="M21" s="39"/>
      <c r="P21" s="38" t="s">
        <v>82</v>
      </c>
      <c r="Q21" s="39"/>
      <c r="R21" s="38" t="s">
        <v>83</v>
      </c>
      <c r="S21" s="39"/>
    </row>
    <row r="22" spans="1:21" ht="15" thickBot="1" x14ac:dyDescent="0.35">
      <c r="A22" t="str">
        <f>Data!A19</f>
        <v>ballCBCT</v>
      </c>
      <c r="L22" s="40"/>
      <c r="M22" s="41"/>
      <c r="P22" s="40"/>
      <c r="Q22" s="41"/>
      <c r="R22" s="40"/>
      <c r="S22" s="41"/>
    </row>
    <row r="23" spans="1:21" x14ac:dyDescent="0.3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21" x14ac:dyDescent="0.3">
      <c r="A24" s="1">
        <f>Data!A21</f>
        <v>0</v>
      </c>
      <c r="B24" s="1">
        <f>Data!B21</f>
        <v>0</v>
      </c>
      <c r="C24" s="1">
        <f>Data!C21</f>
        <v>0</v>
      </c>
    </row>
    <row r="25" spans="1:21" x14ac:dyDescent="0.3">
      <c r="A25" t="s">
        <v>60</v>
      </c>
      <c r="E25" s="1"/>
    </row>
    <row r="26" spans="1:21" x14ac:dyDescent="0.3">
      <c r="A26" t="s">
        <v>57</v>
      </c>
      <c r="B26" t="s">
        <v>58</v>
      </c>
      <c r="C26" t="s">
        <v>59</v>
      </c>
    </row>
    <row r="27" spans="1:21" x14ac:dyDescent="0.3">
      <c r="A27" s="1">
        <f>-A24</f>
        <v>0</v>
      </c>
      <c r="B27" s="1">
        <f t="shared" ref="B27:C27" si="12">-B24</f>
        <v>0</v>
      </c>
      <c r="C27" s="1">
        <f t="shared" si="12"/>
        <v>0</v>
      </c>
    </row>
  </sheetData>
  <sheetProtection selectLockedCells="1"/>
  <mergeCells count="4">
    <mergeCell ref="L21:M22"/>
    <mergeCell ref="P21:Q22"/>
    <mergeCell ref="R21:S22"/>
    <mergeCell ref="O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="85" zoomScaleNormal="85" workbookViewId="0">
      <selection activeCell="L30" sqref="L30"/>
    </sheetView>
  </sheetViews>
  <sheetFormatPr defaultRowHeight="14.4" x14ac:dyDescent="0.3"/>
  <cols>
    <col min="1" max="1" width="18" bestFit="1" customWidth="1"/>
    <col min="2" max="2" width="15.77734375" bestFit="1" customWidth="1"/>
    <col min="3" max="3" width="11.21875" bestFit="1" customWidth="1"/>
    <col min="4" max="5" width="24.77734375" bestFit="1" customWidth="1"/>
    <col min="15" max="15" width="10.77734375" bestFit="1" customWidth="1"/>
    <col min="16" max="16" width="19.44140625" bestFit="1" customWidth="1"/>
    <col min="19" max="19" width="10.44140625" bestFit="1" customWidth="1"/>
    <col min="21" max="21" width="40.21875" bestFit="1" customWidth="1"/>
  </cols>
  <sheetData>
    <row r="1" spans="1:13" ht="15" thickBot="1" x14ac:dyDescent="0.35"/>
    <row r="2" spans="1:13" ht="15" thickBot="1" x14ac:dyDescent="0.35">
      <c r="H2" s="43" t="s">
        <v>122</v>
      </c>
      <c r="I2" s="43"/>
      <c r="J2" s="43"/>
      <c r="K2" s="43"/>
      <c r="L2" s="35">
        <f>MAX(L4:L6)</f>
        <v>0.15305244126648201</v>
      </c>
      <c r="M2" t="s">
        <v>123</v>
      </c>
    </row>
    <row r="3" spans="1:13" x14ac:dyDescent="0.3">
      <c r="A3" t="s">
        <v>110</v>
      </c>
      <c r="E3" s="22"/>
      <c r="F3" s="22" t="s">
        <v>29</v>
      </c>
      <c r="G3" s="22" t="s">
        <v>31</v>
      </c>
      <c r="H3" s="22" t="s">
        <v>32</v>
      </c>
      <c r="I3" s="22" t="s">
        <v>34</v>
      </c>
      <c r="J3" s="22" t="s">
        <v>119</v>
      </c>
      <c r="K3" s="22" t="s">
        <v>120</v>
      </c>
      <c r="L3" s="22" t="s">
        <v>121</v>
      </c>
    </row>
    <row r="4" spans="1:13" x14ac:dyDescent="0.3">
      <c r="A4">
        <f>Preprocess!D24</f>
        <v>180</v>
      </c>
      <c r="B4">
        <f>Preprocess!E24</f>
        <v>0</v>
      </c>
      <c r="C4">
        <f>Preprocess!F24</f>
        <v>0</v>
      </c>
      <c r="D4">
        <f>IF(AND($A4=180,$B4=0,$C4=0),Preprocess!G24,"")</f>
        <v>-0.19</v>
      </c>
      <c r="E4" s="22">
        <f>IF(AND($A4=180,$B4=0,$C4=0),Preprocess!H24,"")</f>
        <v>0.11</v>
      </c>
      <c r="F4" s="34">
        <f>IF(D4="","",-D4)</f>
        <v>0.19</v>
      </c>
      <c r="G4" s="34">
        <f>IF(E4="","",-E4)</f>
        <v>-0.11</v>
      </c>
      <c r="H4" s="37">
        <v>0.25482564900783278</v>
      </c>
      <c r="I4" s="37">
        <v>-0.16986197349806023</v>
      </c>
      <c r="J4" s="34">
        <f>F4-H$4</f>
        <v>-6.4825649007832775E-2</v>
      </c>
      <c r="K4" s="34">
        <f>G4-I$4</f>
        <v>5.9861973498060231E-2</v>
      </c>
      <c r="L4" s="34">
        <f>IF(OR(D4="",E4=""),"",SQRT(J4^2+K4^2))</f>
        <v>8.8237297331509396E-2</v>
      </c>
    </row>
    <row r="5" spans="1:13" x14ac:dyDescent="0.3">
      <c r="A5">
        <f>Preprocess!D25</f>
        <v>180</v>
      </c>
      <c r="B5">
        <f>Preprocess!E25</f>
        <v>90</v>
      </c>
      <c r="C5">
        <f>Preprocess!F25</f>
        <v>0</v>
      </c>
      <c r="D5">
        <f>IF(AND($A5=180,$B5=90,$C5=0),Preprocess!G25,"")</f>
        <v>-0.35</v>
      </c>
      <c r="E5" s="22">
        <f>IF(AND($A5=180,$B5=90,$C5=0),Preprocess!H25,"")</f>
        <v>0.05</v>
      </c>
      <c r="F5" s="34">
        <f t="shared" ref="F5:G7" si="0">IF(D5="","",-D5)</f>
        <v>0.35</v>
      </c>
      <c r="G5" s="34">
        <f t="shared" si="0"/>
        <v>-0.05</v>
      </c>
      <c r="H5" s="34"/>
      <c r="I5" s="22"/>
      <c r="J5" s="34">
        <f>F5-H$4</f>
        <v>9.51743509921672E-2</v>
      </c>
      <c r="K5" s="34">
        <f>G5-I$4</f>
        <v>0.11986197349806023</v>
      </c>
      <c r="L5" s="34">
        <f t="shared" ref="L5:L6" si="1">IF(OR(D5="",E5=""),"",SQRT(J5^2+K5^2))</f>
        <v>0.15305244126648201</v>
      </c>
    </row>
    <row r="6" spans="1:13" x14ac:dyDescent="0.3">
      <c r="A6">
        <f>Preprocess!D26</f>
        <v>180</v>
      </c>
      <c r="B6">
        <f>Preprocess!E26</f>
        <v>270</v>
      </c>
      <c r="C6">
        <f>Preprocess!F26</f>
        <v>0</v>
      </c>
      <c r="D6">
        <f>IF(AND($A6=180,$B6=270,$C6=0),Preprocess!G26,"")</f>
        <v>-0.16</v>
      </c>
      <c r="E6" s="22">
        <f>IF(AND($A6=180,$B6=270,$C6=0),Preprocess!H26,"")</f>
        <v>0.28999999999999998</v>
      </c>
      <c r="F6" s="34">
        <f t="shared" si="0"/>
        <v>0.16</v>
      </c>
      <c r="G6" s="34">
        <f t="shared" si="0"/>
        <v>-0.28999999999999998</v>
      </c>
      <c r="H6" s="34"/>
      <c r="I6" s="22"/>
      <c r="J6" s="34">
        <f t="shared" ref="J6" si="2">F6-H$4</f>
        <v>-9.4825649007832774E-2</v>
      </c>
      <c r="K6" s="34">
        <f>G6-I$4</f>
        <v>-0.12013802650193975</v>
      </c>
      <c r="L6" s="34">
        <f t="shared" si="1"/>
        <v>0.15305243912312366</v>
      </c>
    </row>
    <row r="7" spans="1:13" x14ac:dyDescent="0.3">
      <c r="F7" s="1" t="str">
        <f t="shared" si="0"/>
        <v/>
      </c>
      <c r="G7" s="1" t="str">
        <f t="shared" si="0"/>
        <v/>
      </c>
      <c r="H7" s="1"/>
    </row>
    <row r="8" spans="1:13" x14ac:dyDescent="0.3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="85" zoomScaleNormal="85" workbookViewId="0">
      <selection activeCell="K23" sqref="A23:K24"/>
    </sheetView>
  </sheetViews>
  <sheetFormatPr defaultRowHeight="14.4" x14ac:dyDescent="0.3"/>
  <cols>
    <col min="1" max="1" width="32.77734375" bestFit="1" customWidth="1"/>
    <col min="2" max="2" width="8.5546875" bestFit="1" customWidth="1"/>
    <col min="3" max="7" width="15.77734375" bestFit="1" customWidth="1"/>
    <col min="8" max="8" width="10.77734375" bestFit="1" customWidth="1"/>
    <col min="9" max="9" width="19.44140625" bestFit="1" customWidth="1"/>
    <col min="10" max="10" width="10.44140625" bestFit="1" customWidth="1"/>
    <col min="11" max="11" width="13.21875" bestFit="1" customWidth="1"/>
  </cols>
  <sheetData>
    <row r="1" spans="1:11" x14ac:dyDescent="0.3">
      <c r="A1" t="s">
        <v>68</v>
      </c>
      <c r="B1" t="s">
        <v>69</v>
      </c>
      <c r="C1" s="14" t="s">
        <v>70</v>
      </c>
      <c r="D1" s="15" t="s">
        <v>70</v>
      </c>
      <c r="E1" s="16" t="s">
        <v>70</v>
      </c>
      <c r="F1" s="14" t="s">
        <v>72</v>
      </c>
      <c r="G1" s="16" t="s">
        <v>72</v>
      </c>
      <c r="H1" s="19" t="s">
        <v>38</v>
      </c>
      <c r="I1" s="19" t="str">
        <f>Analysis!P2</f>
        <v>Coll-Gantry-misalign</v>
      </c>
      <c r="J1" s="19" t="s">
        <v>67</v>
      </c>
      <c r="K1" s="19" t="s">
        <v>74</v>
      </c>
    </row>
    <row r="2" spans="1:11" x14ac:dyDescent="0.3">
      <c r="C2" s="17" t="s">
        <v>71</v>
      </c>
      <c r="D2" t="s">
        <v>71</v>
      </c>
      <c r="E2" s="18" t="s">
        <v>71</v>
      </c>
      <c r="F2" s="17" t="s">
        <v>71</v>
      </c>
      <c r="G2" s="18" t="s">
        <v>71</v>
      </c>
      <c r="H2" s="20"/>
      <c r="I2" s="20" t="s">
        <v>23</v>
      </c>
      <c r="J2" s="20"/>
      <c r="K2" s="20" t="s">
        <v>75</v>
      </c>
    </row>
    <row r="3" spans="1:11" ht="15" thickBot="1" x14ac:dyDescent="0.35">
      <c r="C3" s="21" t="s">
        <v>63</v>
      </c>
      <c r="D3" s="22" t="s">
        <v>64</v>
      </c>
      <c r="E3" s="23" t="s">
        <v>65</v>
      </c>
      <c r="F3" s="21" t="s">
        <v>63</v>
      </c>
      <c r="G3" s="23" t="s">
        <v>65</v>
      </c>
      <c r="H3" s="24" t="s">
        <v>73</v>
      </c>
      <c r="I3" s="24" t="s">
        <v>73</v>
      </c>
      <c r="J3" s="24" t="s">
        <v>73</v>
      </c>
      <c r="K3" s="24" t="s">
        <v>73</v>
      </c>
    </row>
    <row r="4" spans="1:11" ht="15" thickBot="1" x14ac:dyDescent="0.35">
      <c r="A4" s="32" t="str">
        <f>Data!B1</f>
        <v>Data Date: 2024-10-15 17:47:43</v>
      </c>
      <c r="B4" t="s">
        <v>101</v>
      </c>
      <c r="C4" s="25">
        <f>Analysis!V3-Analysis!V$4</f>
        <v>-0.33</v>
      </c>
      <c r="D4" s="26">
        <f>Analysis!W3-Analysis!W$4</f>
        <v>6.5000000000000002E-2</v>
      </c>
      <c r="E4" s="27">
        <f>Analysis!X3-Analysis!X$4</f>
        <v>-6.6250000000000003E-2</v>
      </c>
      <c r="F4" s="25">
        <f>Analysis!V5-Analysis!V$4</f>
        <v>1.6225595162400297E-2</v>
      </c>
      <c r="G4" s="28">
        <f>Analysis!X5-Analysis!X$4</f>
        <v>0.26860213712639502</v>
      </c>
      <c r="H4" s="29">
        <f>Analysis!O3</f>
        <v>0.49</v>
      </c>
      <c r="I4" s="30">
        <f>Analysis!P3</f>
        <v>5.7500000000000009E-2</v>
      </c>
      <c r="J4" s="30">
        <f>Analysis!T1</f>
        <v>-0.2525</v>
      </c>
      <c r="K4" s="30">
        <f>2*SQRT(Analysis!R12)</f>
        <v>0.42860743649044969</v>
      </c>
    </row>
    <row r="5" spans="1:11" x14ac:dyDescent="0.3">
      <c r="C5" s="31"/>
      <c r="D5" s="31"/>
      <c r="E5" s="31"/>
      <c r="F5" s="31"/>
      <c r="G5" s="31"/>
      <c r="H5" s="31"/>
      <c r="I5" s="31"/>
      <c r="J5" s="31"/>
      <c r="K5" s="31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4.4" x14ac:dyDescent="0.3"/>
  <sheetData>
    <row r="2" spans="3:6" x14ac:dyDescent="0.3">
      <c r="C2" t="s">
        <v>78</v>
      </c>
    </row>
    <row r="3" spans="3:6" x14ac:dyDescent="0.3">
      <c r="D3">
        <v>1</v>
      </c>
      <c r="E3" t="s">
        <v>79</v>
      </c>
    </row>
    <row r="4" spans="3:6" x14ac:dyDescent="0.3">
      <c r="D4">
        <v>2</v>
      </c>
      <c r="E4" t="s">
        <v>85</v>
      </c>
    </row>
    <row r="5" spans="3:6" x14ac:dyDescent="0.3">
      <c r="D5">
        <v>3</v>
      </c>
      <c r="E5" t="s">
        <v>86</v>
      </c>
    </row>
    <row r="6" spans="3:6" x14ac:dyDescent="0.3">
      <c r="D6">
        <v>4</v>
      </c>
      <c r="E6" t="s">
        <v>87</v>
      </c>
    </row>
    <row r="7" spans="3:6" x14ac:dyDescent="0.3">
      <c r="E7" t="s">
        <v>88</v>
      </c>
      <c r="F7" t="s">
        <v>89</v>
      </c>
    </row>
    <row r="8" spans="3:6" x14ac:dyDescent="0.3">
      <c r="E8" t="s">
        <v>90</v>
      </c>
      <c r="F8" t="s">
        <v>92</v>
      </c>
    </row>
    <row r="9" spans="3:6" x14ac:dyDescent="0.3">
      <c r="E9" t="s">
        <v>91</v>
      </c>
      <c r="F9" t="s">
        <v>93</v>
      </c>
    </row>
    <row r="10" spans="3:6" x14ac:dyDescent="0.3">
      <c r="E10" t="s">
        <v>94</v>
      </c>
      <c r="F10" t="s">
        <v>95</v>
      </c>
    </row>
    <row r="11" spans="3:6" x14ac:dyDescent="0.3">
      <c r="D11">
        <v>5</v>
      </c>
      <c r="E11" t="s">
        <v>162</v>
      </c>
    </row>
    <row r="12" spans="3:6" x14ac:dyDescent="0.3">
      <c r="D12">
        <v>6</v>
      </c>
      <c r="E12" t="s">
        <v>163</v>
      </c>
    </row>
    <row r="13" spans="3:6" x14ac:dyDescent="0.3">
      <c r="D13">
        <v>8</v>
      </c>
      <c r="E13" t="s">
        <v>96</v>
      </c>
    </row>
    <row r="14" spans="3:6" x14ac:dyDescent="0.3">
      <c r="D14">
        <v>9</v>
      </c>
      <c r="E14" t="s">
        <v>124</v>
      </c>
    </row>
    <row r="15" spans="3:6" x14ac:dyDescent="0.3">
      <c r="D15">
        <v>10</v>
      </c>
      <c r="E15" t="s">
        <v>97</v>
      </c>
    </row>
    <row r="16" spans="3:6" x14ac:dyDescent="0.3">
      <c r="D16">
        <v>11</v>
      </c>
      <c r="E16" t="s">
        <v>164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Knill, Cory</cp:lastModifiedBy>
  <cp:lastPrinted>2024-03-19T12:02:50Z</cp:lastPrinted>
  <dcterms:created xsi:type="dcterms:W3CDTF">2022-04-17T19:50:10Z</dcterms:created>
  <dcterms:modified xsi:type="dcterms:W3CDTF">2024-10-18T16:41:09Z</dcterms:modified>
</cp:coreProperties>
</file>