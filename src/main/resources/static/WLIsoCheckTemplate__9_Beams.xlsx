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tmp\aqaExcel\"/>
    </mc:Choice>
  </mc:AlternateContent>
  <xr:revisionPtr revIDLastSave="0" documentId="13_ncr:1_{2C1ADECE-71F8-4FC4-BCC2-60B4B5CC444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Analysis!#REF!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Analysis!#REF!</definedName>
    <definedName name="solver_lhs1" localSheetId="4" hidden="1">Collimator!$H$4</definedName>
    <definedName name="solver_lhs2" localSheetId="3" hidden="1">Analysis!#REF!</definedName>
    <definedName name="solver_lhs2" localSheetId="4" hidden="1">Collimator!$H$4</definedName>
    <definedName name="solver_lhs3" localSheetId="3" hidden="1">Analysis!#REF!</definedName>
    <definedName name="solver_lhs3" localSheetId="4" hidden="1">Collimator!$I$4</definedName>
    <definedName name="solver_lhs4" localSheetId="3" hidden="1">Analysis!#REF!</definedName>
    <definedName name="solver_lhs4" localSheetId="4" hidden="1">Collimator!$I$4</definedName>
    <definedName name="solver_lhs5" localSheetId="3" hidden="1">Analysis!#REF!</definedName>
    <definedName name="solver_lhs5" localSheetId="4" hidden="1">Collimator!#REF!</definedName>
    <definedName name="solver_lhs6" localSheetId="3" hidden="1">Analysis!#REF!</definedName>
    <definedName name="solver_lhs6" localSheetId="4" hidden="1">Collimator!#REF!</definedName>
    <definedName name="solver_lhs7" localSheetId="3" hidden="1">Analysis!#REF!</definedName>
    <definedName name="solver_lhs7" localSheetId="4" hidden="1">Collimator!#REF!</definedName>
    <definedName name="solver_lhs8" localSheetId="3" hidden="1">Analysis!#REF!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Analysis!$O$12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SNCImport!$A$1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6" l="1"/>
  <c r="C13" i="6"/>
  <c r="D20" i="2" a="1"/>
  <c r="D20" i="2" s="1"/>
  <c r="G4" i="2"/>
  <c r="G5" i="2"/>
  <c r="U4" i="2"/>
  <c r="U5" i="2"/>
  <c r="U6" i="2"/>
  <c r="U7" i="2"/>
  <c r="U8" i="2"/>
  <c r="U9" i="2"/>
  <c r="U10" i="2"/>
  <c r="U11" i="2"/>
  <c r="T4" i="2"/>
  <c r="T5" i="2"/>
  <c r="T6" i="2"/>
  <c r="T7" i="2"/>
  <c r="T8" i="2"/>
  <c r="T9" i="2"/>
  <c r="T10" i="2"/>
  <c r="T11" i="2"/>
  <c r="S4" i="2"/>
  <c r="S5" i="2"/>
  <c r="S6" i="2"/>
  <c r="S7" i="2"/>
  <c r="S8" i="2"/>
  <c r="S9" i="2"/>
  <c r="S10" i="2"/>
  <c r="S11" i="2"/>
  <c r="R4" i="2"/>
  <c r="R5" i="2"/>
  <c r="R6" i="2"/>
  <c r="R7" i="2"/>
  <c r="R8" i="2"/>
  <c r="R9" i="2"/>
  <c r="R10" i="2"/>
  <c r="R11" i="2"/>
  <c r="Q4" i="2"/>
  <c r="Q5" i="2"/>
  <c r="Q6" i="2"/>
  <c r="Q7" i="2"/>
  <c r="Q8" i="2"/>
  <c r="Q9" i="2"/>
  <c r="Q10" i="2"/>
  <c r="Q11" i="2"/>
  <c r="P4" i="2"/>
  <c r="P5" i="2"/>
  <c r="P6" i="2"/>
  <c r="P7" i="2"/>
  <c r="P8" i="2"/>
  <c r="P9" i="2"/>
  <c r="P10" i="2"/>
  <c r="P11" i="2"/>
  <c r="O4" i="2"/>
  <c r="O5" i="2"/>
  <c r="O6" i="2"/>
  <c r="O7" i="2"/>
  <c r="O8" i="2"/>
  <c r="O9" i="2"/>
  <c r="O10" i="2"/>
  <c r="O11" i="2"/>
  <c r="N4" i="2"/>
  <c r="N5" i="2"/>
  <c r="N6" i="2"/>
  <c r="N7" i="2"/>
  <c r="N8" i="2"/>
  <c r="N9" i="2"/>
  <c r="N10" i="2"/>
  <c r="N11" i="2"/>
  <c r="M4" i="2"/>
  <c r="M5" i="2"/>
  <c r="M6" i="2"/>
  <c r="M7" i="2"/>
  <c r="M8" i="2"/>
  <c r="M9" i="2"/>
  <c r="M10" i="2"/>
  <c r="M11" i="2"/>
  <c r="L4" i="2"/>
  <c r="L5" i="2"/>
  <c r="L6" i="2"/>
  <c r="L7" i="2"/>
  <c r="L8" i="2"/>
  <c r="L9" i="2"/>
  <c r="L10" i="2"/>
  <c r="L11" i="2"/>
  <c r="K4" i="2"/>
  <c r="K5" i="2"/>
  <c r="K6" i="2"/>
  <c r="K7" i="2"/>
  <c r="K8" i="2"/>
  <c r="K9" i="2"/>
  <c r="K10" i="2"/>
  <c r="K11" i="2"/>
  <c r="J4" i="2"/>
  <c r="J5" i="2"/>
  <c r="J6" i="2"/>
  <c r="J7" i="2"/>
  <c r="J8" i="2"/>
  <c r="J9" i="2"/>
  <c r="J10" i="2"/>
  <c r="J11" i="2"/>
  <c r="I4" i="2"/>
  <c r="I5" i="2"/>
  <c r="I6" i="2"/>
  <c r="I7" i="2"/>
  <c r="I8" i="2"/>
  <c r="I9" i="2"/>
  <c r="I10" i="2"/>
  <c r="I11" i="2"/>
  <c r="H4" i="2"/>
  <c r="H5" i="2"/>
  <c r="H6" i="2"/>
  <c r="H7" i="2"/>
  <c r="H8" i="2"/>
  <c r="H9" i="2"/>
  <c r="H10" i="2"/>
  <c r="H11" i="2"/>
  <c r="G6" i="2"/>
  <c r="G7" i="2"/>
  <c r="G8" i="2"/>
  <c r="G9" i="2"/>
  <c r="G10" i="2"/>
  <c r="G11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A22" i="3" l="1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3" i="2"/>
  <c r="D5" i="2"/>
  <c r="D6" i="2"/>
  <c r="D7" i="2"/>
  <c r="D8" i="2"/>
  <c r="D9" i="2"/>
  <c r="D10" i="2"/>
  <c r="D11" i="2"/>
  <c r="F4" i="2" l="1"/>
  <c r="F5" i="2"/>
  <c r="F6" i="2"/>
  <c r="F7" i="2"/>
  <c r="F8" i="2"/>
  <c r="F9" i="2"/>
  <c r="F10" i="2"/>
  <c r="F11" i="2"/>
  <c r="F3" i="2"/>
  <c r="V4" i="2" l="1"/>
  <c r="V5" i="2"/>
  <c r="V6" i="2"/>
  <c r="V7" i="2"/>
  <c r="V8" i="2"/>
  <c r="V9" i="2"/>
  <c r="V10" i="2"/>
  <c r="V11" i="2"/>
  <c r="V3" i="2"/>
  <c r="C4" i="2"/>
  <c r="C5" i="2"/>
  <c r="C6" i="2"/>
  <c r="C7" i="2"/>
  <c r="C8" i="2"/>
  <c r="C9" i="2"/>
  <c r="C10" i="2"/>
  <c r="C11" i="2"/>
  <c r="B3" i="2"/>
  <c r="B4" i="2"/>
  <c r="B5" i="2"/>
  <c r="B6" i="2"/>
  <c r="B7" i="2"/>
  <c r="B8" i="2"/>
  <c r="B9" i="2"/>
  <c r="B10" i="2"/>
  <c r="B11" i="2"/>
  <c r="A3" i="2"/>
  <c r="A4" i="2"/>
  <c r="A5" i="2"/>
  <c r="A6" i="2"/>
  <c r="A7" i="2"/>
  <c r="A8" i="2"/>
  <c r="A9" i="2"/>
  <c r="A10" i="2"/>
  <c r="A11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5" i="8"/>
  <c r="B5" i="3"/>
  <c r="C7" i="3"/>
  <c r="C11" i="3"/>
  <c r="A8" i="3"/>
  <c r="B8" i="3"/>
  <c r="A6" i="3"/>
  <c r="A5" i="3"/>
  <c r="A7" i="3"/>
  <c r="A11" i="3"/>
  <c r="B5" i="8"/>
  <c r="B7" i="3"/>
  <c r="B11" i="3"/>
  <c r="A5" i="8"/>
  <c r="C5" i="3"/>
  <c r="C4" i="8"/>
  <c r="B4" i="8"/>
  <c r="B3" i="3"/>
  <c r="A4" i="8"/>
  <c r="C8" i="3"/>
  <c r="B6" i="3"/>
  <c r="A9" i="3"/>
  <c r="C6" i="3"/>
  <c r="B9" i="3"/>
  <c r="C9" i="3"/>
  <c r="C6" i="8"/>
  <c r="A4" i="3"/>
  <c r="A10" i="3"/>
  <c r="B6" i="8"/>
  <c r="B4" i="3"/>
  <c r="B10" i="3"/>
  <c r="A6" i="8"/>
  <c r="D3" i="3" l="1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K10" i="3"/>
  <c r="R10" i="3" s="1"/>
  <c r="I3" i="3"/>
  <c r="Q4" i="3" s="1"/>
  <c r="F5" i="8"/>
  <c r="J5" i="8" s="1"/>
  <c r="L5" i="8" s="1"/>
  <c r="L4" i="8"/>
  <c r="K5" i="3"/>
  <c r="R6" i="3" s="1"/>
  <c r="K8" i="3"/>
  <c r="R9" i="3" s="1"/>
  <c r="Q11" i="3" l="1"/>
  <c r="R8" i="3"/>
  <c r="Q8" i="3"/>
  <c r="R11" i="3"/>
  <c r="Q3" i="3"/>
  <c r="R7" i="3"/>
  <c r="Q7" i="3"/>
  <c r="N3" i="3"/>
  <c r="X4" i="3" s="1"/>
  <c r="O3" i="3"/>
  <c r="O7" i="3"/>
  <c r="R5" i="3"/>
  <c r="M3" i="3"/>
  <c r="W4" i="3" s="1"/>
  <c r="N7" i="3"/>
  <c r="R4" i="3"/>
  <c r="R3" i="3"/>
  <c r="L3" i="3"/>
  <c r="V4" i="3" s="1"/>
  <c r="M7" i="3"/>
  <c r="L2" i="8"/>
  <c r="C12" i="6" s="1"/>
  <c r="Q6" i="3"/>
  <c r="Q5" i="3"/>
  <c r="S4" i="3" l="1"/>
  <c r="T4" i="3"/>
  <c r="S3" i="3"/>
  <c r="O8" i="3"/>
  <c r="C11" i="6" s="1"/>
  <c r="P3" i="3"/>
  <c r="C7" i="6"/>
  <c r="H4" i="4"/>
  <c r="T3" i="3"/>
  <c r="E4" i="4"/>
  <c r="C4" i="6"/>
  <c r="C3" i="6"/>
  <c r="D4" i="4"/>
  <c r="S2" i="3" l="1"/>
  <c r="T2" i="3"/>
  <c r="T1" i="3" s="1"/>
  <c r="C9" i="6" s="1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<sst xmlns="http://schemas.openxmlformats.org/spreadsheetml/2006/main" count="209" uniqueCount="117">
  <si>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</si>
  <si>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</si>
  <si>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</si>
  <si>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</si>
  <si>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</si>
  <si>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</si>
  <si>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</si>
  <si>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</si>
  <si>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</si>
  <si>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</si>
  <si>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</si>
  <si>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</si>
  <si>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</si>
  <si>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</si>
  <si>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</si>
  <si>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</si>
  <si>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</si>
  <si>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</si>
  <si>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</si>
  <si>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</si>
  <si>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</si>
  <si>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</si>
  <si>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</si>
  <si>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</si>
  <si>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</si>
  <si>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</si>
  <si>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</si>
  <si>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</si>
  <si>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</si>
  <si>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</si>
  <si>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</si>
  <si>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</si>
  <si>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</si>
  <si>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</si>
  <si>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</si>
  <si>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</si>
  <si>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</si>
  <si>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</si>
  <si>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</si>
  <si>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</si>
  <si>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</si>
  <si>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</si>
  <si>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</si>
  <si>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</si>
  <si>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</si>
  <si>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</si>
  <si>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</si>
  <si>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</si>
  <si>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</si>
  <si>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</si>
  <si>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</si>
  <si>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</si>
  <si>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</si>
  <si>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</si>
  <si>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</si>
  <si>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</si>
  <si>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</si>
  <si>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</si>
  <si>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</si>
  <si>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</si>
  <si>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</si>
  <si>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</si>
  <si>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</si>
  <si>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</si>
  <si>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</si>
  <si>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</si>
  <si>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</si>
  <si>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</si>
  <si>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</si>
  <si>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</si>
  <si>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</si>
  <si>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</si>
  <si>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</si>
  <si>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</si>
  <si>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</si>
  <si>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</si>
  <si>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</si>
  <si>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</si>
  <si>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</si>
  <si>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</si>
  <si>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</si>
  <si>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</si>
  <si>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</si>
  <si>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</si>
  <si>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</si>
  <si>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</si>
  <si>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</si>
  <si>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</si>
  <si>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</si>
  <si>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</si>
  <si>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</si>
  <si>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</si>
  <si>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</si>
  <si>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</si>
  <si>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</si>
  <si>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</si>
  <si>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</si>
  <si>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</si>
  <si>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</si>
  <si>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</si>
  <si>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</si>
  <si>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</si>
  <si>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</si>
  <si>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</si>
  <si>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</si>
  <si>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</si>
  <si>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</si>
  <si>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</si>
  <si>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</si>
  <si>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</si>
  <si>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Gantry Flex (mm)</t>
  </si>
  <si>
    <t>No Table Data</t>
  </si>
  <si>
    <t>Maximum R (mm)</t>
  </si>
  <si>
    <t>Maximum R Table 0 (mm)</t>
  </si>
  <si>
    <t>Table + Gantry Iso X (mm)</t>
  </si>
  <si>
    <t>Table + Gantry Iso Z (mm)</t>
  </si>
  <si>
    <t>To re-calculate spreadsheet in Excel:
    1: CTRL-ALT-F9 to calculate values
    2: Set Excel's Solver to use "Evolutionary" (not "GRG Nonlinear")
    3: Run the solver on each of the Analysis and Collimator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</si>
</sst>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0" borderId="3" xfId="0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2" borderId="11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0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0" fontId="5" fillId="0" borderId="0" xfId="0" applyFont="1"/>
    <xf numFmtId="2" fontId="0" fillId="0" borderId="11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0" xfId="0" applyProtection="1">
      <protection locked="0"/>
    </xf>
    <xf numFmtId="4" fontId="0" fillId="0" borderId="0" xfId="0" applyNumberFormat="1" applyAlignment="1">
      <alignment horizontal="center"/>
    </xf>
    <xf numFmtId="0" fontId="0" fillId="4" borderId="0" xfId="0" applyFill="1" applyAlignment="1">
      <alignment horizontal="right"/>
    </xf>
    <xf numFmtId="0" fontId="0" fillId="0" borderId="0" xfId="0" applyAlignme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0" borderId="0" xfId="0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N14"/>
  <sheetViews>
    <sheetView tabSelected="1" workbookViewId="0"/>
  </sheetViews>
  <sheetFormatPr defaultRowHeight="15" x14ac:dyDescent="0.25"/>
  <cols>
    <col min="2" max="2" width="21.5703125" customWidth="1"/>
    <col min="3" max="3" width="8.85546875" style="11"/>
  </cols>
  <sheetData>
    <row r="2" spans="2:14" x14ac:dyDescent="0.25">
      <c r="B2" s="21" t="s">
        <v>83</v>
      </c>
      <c r="C2" s="22" t="e">
        <f>Analysis!V3-Analysis!V$4</f>
        <v>#DIV/0!</v>
      </c>
    </row>
    <row r="3" spans="2:14" x14ac:dyDescent="0.25">
      <c r="B3" s="21" t="s">
        <v>84</v>
      </c>
      <c r="C3" s="22" t="e">
        <f>Analysis!W3-Analysis!W$4</f>
        <v>#DIV/0!</v>
      </c>
    </row>
    <row r="4" spans="2:14" x14ac:dyDescent="0.25">
      <c r="B4" s="21" t="s">
        <v>85</v>
      </c>
      <c r="C4" s="22" t="e">
        <f>Analysis!X3-Analysis!X$4</f>
        <v>#DIV/0!</v>
      </c>
    </row>
    <row r="5" spans="2:14" x14ac:dyDescent="0.25">
      <c r="B5" s="21" t="s">
        <v>114</v>
      </c>
      <c r="C5" s="22"/>
      <c r="E5" s="37" t="s">
        <v>116</v>
      </c>
      <c r="F5" s="36"/>
      <c r="G5" s="36"/>
      <c r="H5" s="36"/>
      <c r="I5" s="36"/>
      <c r="J5" s="36"/>
      <c r="K5" s="36"/>
      <c r="L5" s="36"/>
      <c r="M5" s="36"/>
      <c r="N5" s="35"/>
    </row>
    <row r="6" spans="2:14" x14ac:dyDescent="0.25">
      <c r="B6" s="21" t="s">
        <v>115</v>
      </c>
      <c r="C6" s="22"/>
      <c r="E6" s="36"/>
      <c r="F6" s="36"/>
      <c r="G6" s="36"/>
      <c r="H6" s="36"/>
      <c r="I6" s="36"/>
      <c r="J6" s="36"/>
      <c r="K6" s="36"/>
      <c r="L6" s="36"/>
      <c r="M6" s="36"/>
      <c r="N6" s="35"/>
    </row>
    <row r="7" spans="2:14" x14ac:dyDescent="0.25">
      <c r="B7" s="21" t="s">
        <v>110</v>
      </c>
      <c r="C7" s="22" t="str">
        <f>Analysis!O3</f>
        <v/>
      </c>
      <c r="E7" s="36"/>
      <c r="F7" s="36"/>
      <c r="G7" s="36"/>
      <c r="H7" s="36"/>
      <c r="I7" s="36"/>
      <c r="J7" s="36"/>
      <c r="K7" s="36"/>
      <c r="L7" s="36"/>
      <c r="M7" s="36"/>
      <c r="N7" s="35"/>
    </row>
    <row r="8" spans="2:14" x14ac:dyDescent="0.25">
      <c r="B8" s="21" t="s">
        <v>86</v>
      </c>
      <c r="C8" s="22" t="e">
        <f>Analysis!P3</f>
        <v>#DIV/0!</v>
      </c>
      <c r="E8" s="36"/>
      <c r="F8" s="36"/>
      <c r="G8" s="36"/>
      <c r="H8" s="36"/>
      <c r="I8" s="36"/>
      <c r="J8" s="36"/>
      <c r="K8" s="36"/>
      <c r="L8" s="36"/>
      <c r="M8" s="36"/>
    </row>
    <row r="9" spans="2:14" x14ac:dyDescent="0.25">
      <c r="B9" s="21" t="s">
        <v>87</v>
      </c>
      <c r="C9" s="22" t="str">
        <f>Analysis!T1</f>
        <v/>
      </c>
    </row>
    <row r="10" spans="2:14" x14ac:dyDescent="0.25">
      <c r="B10" s="21" t="s">
        <v>89</v>
      </c>
      <c r="C10" s="22"/>
    </row>
    <row r="11" spans="2:14" x14ac:dyDescent="0.25">
      <c r="B11" s="21" t="s">
        <v>90</v>
      </c>
      <c r="C11" s="22">
        <f>Analysis!O8</f>
        <v>0</v>
      </c>
    </row>
    <row r="12" spans="2:14" x14ac:dyDescent="0.25">
      <c r="B12" s="21" t="s">
        <v>91</v>
      </c>
      <c r="C12" s="22">
        <f>Collimator!L2</f>
        <v>0</v>
      </c>
    </row>
    <row r="13" spans="2:14" x14ac:dyDescent="0.25">
      <c r="B13" s="21" t="s">
        <v>112</v>
      </c>
      <c r="C13" s="33">
        <f>MAX(Data!I3:I11)</f>
        <v>-1</v>
      </c>
    </row>
    <row r="14" spans="2:14" x14ac:dyDescent="0.25">
      <c r="B14" s="21" t="s">
        <v>113</v>
      </c>
      <c r="C14" s="22">
        <f>_xlfn.MAXIFS(Preprocess!F3:I11, Preprocess!C3:F11, 0)</f>
        <v>0</v>
      </c>
    </row>
  </sheetData>
  <sheetProtection selectLockedCells="1"/>
  <mergeCells count="1">
    <mergeCell ref="E5:M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7" sqref="G17:K20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26" t="s">
        <v>109</v>
      </c>
      <c r="B1" s="26" t="s">
        <v>107</v>
      </c>
      <c r="C1" s="26" t="s">
        <v>108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</row>
    <row r="2" spans="1:25" x14ac:dyDescent="0.25">
      <c r="A2" s="26" t="s">
        <v>0</v>
      </c>
      <c r="B2" s="26" t="s">
        <v>1</v>
      </c>
      <c r="C2" s="26" t="s">
        <v>2</v>
      </c>
      <c r="D2" s="26" t="s">
        <v>5</v>
      </c>
      <c r="E2" s="26" t="s">
        <v>3</v>
      </c>
      <c r="F2" s="26" t="s">
        <v>4</v>
      </c>
      <c r="G2" s="26" t="s">
        <v>6</v>
      </c>
      <c r="H2" s="26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19</v>
      </c>
      <c r="U2" s="26" t="s">
        <v>20</v>
      </c>
      <c r="V2" s="26" t="s">
        <v>21</v>
      </c>
      <c r="W2" s="26" t="s">
        <v>102</v>
      </c>
      <c r="X2" s="26" t="s">
        <v>80</v>
      </c>
      <c r="Y2" s="26" t="s">
        <v>81</v>
      </c>
    </row>
    <row r="3" spans="1:25" x14ac:dyDescent="0.25">
      <c r="A3" s="26" t="s">
        <v>106</v>
      </c>
      <c r="B3" s="26" t="s">
        <v>106</v>
      </c>
      <c r="C3" s="26" t="s">
        <v>106</v>
      </c>
      <c r="D3" s="26">
        <v>-1</v>
      </c>
      <c r="E3" s="26">
        <v>-1</v>
      </c>
      <c r="F3" s="26">
        <v>-1</v>
      </c>
      <c r="G3" s="26">
        <v>-1</v>
      </c>
      <c r="H3" s="26">
        <v>-1</v>
      </c>
      <c r="I3" s="26">
        <v>-1</v>
      </c>
      <c r="J3" s="26">
        <v>-1</v>
      </c>
      <c r="K3" s="26">
        <v>-1</v>
      </c>
      <c r="L3" s="26">
        <v>-1</v>
      </c>
      <c r="M3" s="26">
        <v>-1</v>
      </c>
      <c r="N3" s="26">
        <v>-1</v>
      </c>
      <c r="O3" s="26">
        <v>-1</v>
      </c>
      <c r="P3" s="26">
        <v>-1</v>
      </c>
      <c r="Q3" s="26">
        <v>-1</v>
      </c>
      <c r="R3" s="26">
        <v>-1</v>
      </c>
      <c r="S3" s="26">
        <v>-1</v>
      </c>
      <c r="T3" s="26">
        <v>-1</v>
      </c>
      <c r="U3" s="26">
        <v>-1</v>
      </c>
      <c r="V3" s="26" t="s">
        <v>106</v>
      </c>
      <c r="W3" s="26" t="s">
        <v>106</v>
      </c>
      <c r="X3" s="26" t="s">
        <v>106</v>
      </c>
      <c r="Y3" s="26" t="s">
        <v>106</v>
      </c>
    </row>
    <row r="4" spans="1:25" x14ac:dyDescent="0.25">
      <c r="A4" s="26" t="s">
        <v>106</v>
      </c>
      <c r="B4" s="26" t="s">
        <v>106</v>
      </c>
      <c r="C4" s="26" t="s">
        <v>106</v>
      </c>
      <c r="D4" s="26">
        <v>-1</v>
      </c>
      <c r="E4" s="26">
        <v>-1</v>
      </c>
      <c r="F4" s="26">
        <v>-1</v>
      </c>
      <c r="G4" s="26">
        <v>-1</v>
      </c>
      <c r="H4" s="26">
        <v>-1</v>
      </c>
      <c r="I4" s="26">
        <v>-1</v>
      </c>
      <c r="J4" s="26">
        <v>-1</v>
      </c>
      <c r="K4" s="26">
        <v>-1</v>
      </c>
      <c r="L4" s="26">
        <v>-1</v>
      </c>
      <c r="M4" s="26">
        <v>-1</v>
      </c>
      <c r="N4" s="26">
        <v>-1</v>
      </c>
      <c r="O4" s="26">
        <v>-1</v>
      </c>
      <c r="P4" s="26">
        <v>-1</v>
      </c>
      <c r="Q4" s="26">
        <v>-1</v>
      </c>
      <c r="R4" s="26">
        <v>-1</v>
      </c>
      <c r="S4" s="26">
        <v>-1</v>
      </c>
      <c r="T4" s="26">
        <v>-1</v>
      </c>
      <c r="U4" s="26">
        <v>-1</v>
      </c>
      <c r="V4" s="26" t="s">
        <v>106</v>
      </c>
      <c r="W4" s="26" t="s">
        <v>106</v>
      </c>
      <c r="X4" s="26" t="s">
        <v>106</v>
      </c>
      <c r="Y4" s="26" t="s">
        <v>106</v>
      </c>
    </row>
    <row r="5" spans="1:25" x14ac:dyDescent="0.25">
      <c r="A5" s="26" t="s">
        <v>106</v>
      </c>
      <c r="B5" s="26" t="s">
        <v>106</v>
      </c>
      <c r="C5" s="26" t="s">
        <v>106</v>
      </c>
      <c r="D5" s="26">
        <v>-1</v>
      </c>
      <c r="E5" s="26">
        <v>-1</v>
      </c>
      <c r="F5" s="26">
        <v>-1</v>
      </c>
      <c r="G5" s="26">
        <v>-1</v>
      </c>
      <c r="H5" s="26">
        <v>-1</v>
      </c>
      <c r="I5" s="26">
        <v>-1</v>
      </c>
      <c r="J5" s="26">
        <v>-1</v>
      </c>
      <c r="K5" s="26">
        <v>-1</v>
      </c>
      <c r="L5" s="26">
        <v>-1</v>
      </c>
      <c r="M5" s="26">
        <v>-1</v>
      </c>
      <c r="N5" s="26">
        <v>-1</v>
      </c>
      <c r="O5" s="26">
        <v>-1</v>
      </c>
      <c r="P5" s="26">
        <v>-1</v>
      </c>
      <c r="Q5" s="26">
        <v>-1</v>
      </c>
      <c r="R5" s="26">
        <v>-1</v>
      </c>
      <c r="S5" s="26">
        <v>-1</v>
      </c>
      <c r="T5" s="26">
        <v>-1</v>
      </c>
      <c r="U5" s="26">
        <v>-1</v>
      </c>
      <c r="V5" s="26" t="s">
        <v>106</v>
      </c>
      <c r="W5" s="26" t="s">
        <v>106</v>
      </c>
      <c r="X5" s="26" t="s">
        <v>106</v>
      </c>
      <c r="Y5" s="26" t="s">
        <v>106</v>
      </c>
    </row>
    <row r="6" spans="1:25" x14ac:dyDescent="0.25">
      <c r="A6" s="26" t="s">
        <v>106</v>
      </c>
      <c r="B6" s="26" t="s">
        <v>106</v>
      </c>
      <c r="C6" s="26" t="s">
        <v>106</v>
      </c>
      <c r="D6" s="26">
        <v>-1</v>
      </c>
      <c r="E6" s="26">
        <v>-1</v>
      </c>
      <c r="F6" s="26">
        <v>-1</v>
      </c>
      <c r="G6" s="26">
        <v>-1</v>
      </c>
      <c r="H6" s="26">
        <v>-1</v>
      </c>
      <c r="I6" s="26">
        <v>-1</v>
      </c>
      <c r="J6" s="26">
        <v>-1</v>
      </c>
      <c r="K6" s="26">
        <v>-1</v>
      </c>
      <c r="L6" s="26">
        <v>-1</v>
      </c>
      <c r="M6" s="26">
        <v>-1</v>
      </c>
      <c r="N6" s="26">
        <v>-1</v>
      </c>
      <c r="O6" s="26">
        <v>-1</v>
      </c>
      <c r="P6" s="26">
        <v>-1</v>
      </c>
      <c r="Q6" s="26">
        <v>-1</v>
      </c>
      <c r="R6" s="26">
        <v>-1</v>
      </c>
      <c r="S6" s="26">
        <v>-1</v>
      </c>
      <c r="T6" s="26">
        <v>-1</v>
      </c>
      <c r="U6" s="26">
        <v>-1</v>
      </c>
      <c r="V6" s="26" t="s">
        <v>106</v>
      </c>
      <c r="W6" s="26" t="s">
        <v>106</v>
      </c>
      <c r="X6" s="26" t="s">
        <v>106</v>
      </c>
      <c r="Y6" s="26" t="s">
        <v>106</v>
      </c>
    </row>
    <row r="7" spans="1:25" x14ac:dyDescent="0.25">
      <c r="A7" s="26" t="s">
        <v>106</v>
      </c>
      <c r="B7" s="26" t="s">
        <v>106</v>
      </c>
      <c r="C7" s="26" t="s">
        <v>106</v>
      </c>
      <c r="D7" s="26">
        <v>-1</v>
      </c>
      <c r="E7" s="26">
        <v>-1</v>
      </c>
      <c r="F7" s="26">
        <v>-1</v>
      </c>
      <c r="G7" s="26">
        <v>-1</v>
      </c>
      <c r="H7" s="26">
        <v>-1</v>
      </c>
      <c r="I7" s="26">
        <v>-1</v>
      </c>
      <c r="J7" s="26">
        <v>-1</v>
      </c>
      <c r="K7" s="26">
        <v>-1</v>
      </c>
      <c r="L7" s="26">
        <v>-1</v>
      </c>
      <c r="M7" s="26">
        <v>-1</v>
      </c>
      <c r="N7" s="26">
        <v>-1</v>
      </c>
      <c r="O7" s="26">
        <v>-1</v>
      </c>
      <c r="P7" s="26">
        <v>-1</v>
      </c>
      <c r="Q7" s="26">
        <v>-1</v>
      </c>
      <c r="R7" s="26">
        <v>-1</v>
      </c>
      <c r="S7" s="26">
        <v>-1</v>
      </c>
      <c r="T7" s="26">
        <v>-1</v>
      </c>
      <c r="U7" s="26">
        <v>-1</v>
      </c>
      <c r="V7" s="26" t="s">
        <v>106</v>
      </c>
      <c r="W7" s="26" t="s">
        <v>106</v>
      </c>
      <c r="X7" s="26" t="s">
        <v>106</v>
      </c>
      <c r="Y7" s="26" t="s">
        <v>106</v>
      </c>
    </row>
    <row r="8" spans="1:25" x14ac:dyDescent="0.25">
      <c r="A8" s="26" t="s">
        <v>106</v>
      </c>
      <c r="B8" s="26" t="s">
        <v>106</v>
      </c>
      <c r="C8" s="26" t="s">
        <v>106</v>
      </c>
      <c r="D8" s="26">
        <v>-1</v>
      </c>
      <c r="E8" s="26">
        <v>-1</v>
      </c>
      <c r="F8" s="26">
        <v>-1</v>
      </c>
      <c r="G8" s="26">
        <v>-1</v>
      </c>
      <c r="H8" s="26">
        <v>-1</v>
      </c>
      <c r="I8" s="26">
        <v>-1</v>
      </c>
      <c r="J8" s="26">
        <v>-1</v>
      </c>
      <c r="K8" s="26">
        <v>-1</v>
      </c>
      <c r="L8" s="26">
        <v>-1</v>
      </c>
      <c r="M8" s="26">
        <v>-1</v>
      </c>
      <c r="N8" s="26">
        <v>-1</v>
      </c>
      <c r="O8" s="26">
        <v>-1</v>
      </c>
      <c r="P8" s="26">
        <v>-1</v>
      </c>
      <c r="Q8" s="26">
        <v>-1</v>
      </c>
      <c r="R8" s="26">
        <v>-1</v>
      </c>
      <c r="S8" s="26">
        <v>-1</v>
      </c>
      <c r="T8" s="26">
        <v>-1</v>
      </c>
      <c r="U8" s="26">
        <v>-1</v>
      </c>
      <c r="V8" s="26" t="s">
        <v>106</v>
      </c>
      <c r="W8" s="26" t="s">
        <v>106</v>
      </c>
      <c r="X8" s="26" t="s">
        <v>106</v>
      </c>
      <c r="Y8" s="26" t="s">
        <v>106</v>
      </c>
    </row>
    <row r="9" spans="1:25" x14ac:dyDescent="0.25">
      <c r="A9" s="26" t="s">
        <v>106</v>
      </c>
      <c r="B9" s="26" t="s">
        <v>106</v>
      </c>
      <c r="C9" s="26" t="s">
        <v>106</v>
      </c>
      <c r="D9" s="26">
        <v>-1</v>
      </c>
      <c r="E9" s="26">
        <v>-1</v>
      </c>
      <c r="F9" s="26">
        <v>-1</v>
      </c>
      <c r="G9" s="26">
        <v>-1</v>
      </c>
      <c r="H9" s="26">
        <v>-1</v>
      </c>
      <c r="I9" s="26">
        <v>-1</v>
      </c>
      <c r="J9" s="26">
        <v>-1</v>
      </c>
      <c r="K9" s="26">
        <v>-1</v>
      </c>
      <c r="L9" s="26">
        <v>-1</v>
      </c>
      <c r="M9" s="26">
        <v>-1</v>
      </c>
      <c r="N9" s="26">
        <v>-1</v>
      </c>
      <c r="O9" s="26">
        <v>-1</v>
      </c>
      <c r="P9" s="26">
        <v>-1</v>
      </c>
      <c r="Q9" s="26">
        <v>-1</v>
      </c>
      <c r="R9" s="26">
        <v>-1</v>
      </c>
      <c r="S9" s="26">
        <v>-1</v>
      </c>
      <c r="T9" s="26">
        <v>-1</v>
      </c>
      <c r="U9" s="26">
        <v>-1</v>
      </c>
      <c r="V9" s="26" t="s">
        <v>106</v>
      </c>
      <c r="W9" s="26" t="s">
        <v>106</v>
      </c>
      <c r="X9" s="26" t="s">
        <v>106</v>
      </c>
      <c r="Y9" s="26" t="s">
        <v>106</v>
      </c>
    </row>
    <row r="10" spans="1:25" x14ac:dyDescent="0.25">
      <c r="A10" s="26" t="s">
        <v>106</v>
      </c>
      <c r="B10" s="26" t="s">
        <v>106</v>
      </c>
      <c r="C10" s="26" t="s">
        <v>106</v>
      </c>
      <c r="D10" s="26">
        <v>-1</v>
      </c>
      <c r="E10" s="26">
        <v>-1</v>
      </c>
      <c r="F10" s="26">
        <v>-1</v>
      </c>
      <c r="G10" s="26">
        <v>-1</v>
      </c>
      <c r="H10" s="26">
        <v>-1</v>
      </c>
      <c r="I10" s="26">
        <v>-1</v>
      </c>
      <c r="J10" s="26">
        <v>-1</v>
      </c>
      <c r="K10" s="26">
        <v>-1</v>
      </c>
      <c r="L10" s="26">
        <v>-1</v>
      </c>
      <c r="M10" s="26">
        <v>-1</v>
      </c>
      <c r="N10" s="26">
        <v>-1</v>
      </c>
      <c r="O10" s="26">
        <v>-1</v>
      </c>
      <c r="P10" s="26">
        <v>-1</v>
      </c>
      <c r="Q10" s="26">
        <v>-1</v>
      </c>
      <c r="R10" s="26">
        <v>-1</v>
      </c>
      <c r="S10" s="26">
        <v>-1</v>
      </c>
      <c r="T10" s="26">
        <v>-1</v>
      </c>
      <c r="U10" s="26">
        <v>-1</v>
      </c>
      <c r="V10" s="26" t="s">
        <v>106</v>
      </c>
      <c r="W10" s="26" t="s">
        <v>106</v>
      </c>
      <c r="X10" s="26" t="s">
        <v>106</v>
      </c>
      <c r="Y10" s="26" t="s">
        <v>106</v>
      </c>
    </row>
    <row r="11" spans="1:25" x14ac:dyDescent="0.25">
      <c r="A11" s="26" t="s">
        <v>106</v>
      </c>
      <c r="B11" s="26" t="s">
        <v>106</v>
      </c>
      <c r="C11" s="26" t="s">
        <v>106</v>
      </c>
      <c r="D11" s="26">
        <v>-1</v>
      </c>
      <c r="E11" s="26">
        <v>-1</v>
      </c>
      <c r="F11" s="26">
        <v>-1</v>
      </c>
      <c r="G11" s="26">
        <v>-1</v>
      </c>
      <c r="H11" s="26">
        <v>-1</v>
      </c>
      <c r="I11" s="26">
        <v>-1</v>
      </c>
      <c r="J11" s="26">
        <v>-1</v>
      </c>
      <c r="K11" s="26">
        <v>-1</v>
      </c>
      <c r="L11" s="26">
        <v>-1</v>
      </c>
      <c r="M11" s="26">
        <v>-1</v>
      </c>
      <c r="N11" s="26">
        <v>-1</v>
      </c>
      <c r="O11" s="26">
        <v>-1</v>
      </c>
      <c r="P11" s="26">
        <v>-1</v>
      </c>
      <c r="Q11" s="26">
        <v>-1</v>
      </c>
      <c r="R11" s="26">
        <v>-1</v>
      </c>
      <c r="S11" s="26">
        <v>-1</v>
      </c>
      <c r="T11" s="26">
        <v>-1</v>
      </c>
      <c r="U11" s="26">
        <v>-1</v>
      </c>
      <c r="V11" s="26" t="s">
        <v>106</v>
      </c>
      <c r="W11" s="26" t="s">
        <v>106</v>
      </c>
      <c r="X11" s="26" t="s">
        <v>106</v>
      </c>
      <c r="Y11" s="26" t="s">
        <v>106</v>
      </c>
    </row>
    <row r="12" spans="1:25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x14ac:dyDescent="0.25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x14ac:dyDescent="0.2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x14ac:dyDescent="0.25">
      <c r="A17" s="32"/>
      <c r="B17" s="32"/>
      <c r="C17" s="32"/>
      <c r="D17" s="32"/>
      <c r="E17" s="32"/>
      <c r="F17" s="32"/>
      <c r="G17" s="39" t="s">
        <v>116</v>
      </c>
      <c r="H17" s="38"/>
      <c r="I17" s="38"/>
      <c r="J17" s="38"/>
      <c r="K17" s="38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8" spans="1:25" x14ac:dyDescent="0.25">
      <c r="G18" s="38"/>
      <c r="H18" s="38"/>
      <c r="I18" s="38"/>
      <c r="J18" s="38"/>
      <c r="K18" s="38"/>
    </row>
    <row r="19" spans="1:25" x14ac:dyDescent="0.25">
      <c r="A19" t="s">
        <v>40</v>
      </c>
      <c r="G19" s="38"/>
      <c r="H19" s="38"/>
      <c r="I19" s="38"/>
      <c r="J19" s="38"/>
      <c r="K19" s="38"/>
    </row>
    <row r="20" spans="1:25" x14ac:dyDescent="0.25">
      <c r="A20" t="s">
        <v>41</v>
      </c>
      <c r="B20" t="s">
        <v>42</v>
      </c>
      <c r="C20" t="s">
        <v>43</v>
      </c>
      <c r="G20" s="38"/>
      <c r="H20" s="38"/>
      <c r="I20" s="38"/>
      <c r="J20" s="38"/>
      <c r="K20" s="38"/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28"/>
    </row>
    <row r="23" spans="1:25" x14ac:dyDescent="0.25">
      <c r="A23" s="27">
        <v>0</v>
      </c>
      <c r="B23" s="27">
        <v>0</v>
      </c>
      <c r="C23" s="27">
        <v>0</v>
      </c>
      <c r="D23" t="s">
        <v>63</v>
      </c>
    </row>
    <row r="24" spans="1:25" x14ac:dyDescent="0.25">
      <c r="A24" s="27">
        <v>0</v>
      </c>
      <c r="B24" s="27">
        <v>0</v>
      </c>
      <c r="C24" s="27">
        <v>0</v>
      </c>
      <c r="D24" t="s">
        <v>64</v>
      </c>
    </row>
  </sheetData>
  <sheetProtection selectLockedCells="1"/>
  <mergeCells count="1">
    <mergeCell ref="G17:K20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F3" sqref="A3:XFD1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D12" s="2"/>
      <c r="E12" s="2"/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 spans="1:22" x14ac:dyDescent="0.25">
      <c r="D13" s="2"/>
      <c r="E13" s="2"/>
      <c r="F13" s="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26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28">_xlfn.SORTBY(D3:H11,F3:F11,1,D3:D11,1,E3:E11,1)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G29" s="1"/>
      <c r="H29" s="1"/>
    </row>
    <row r="30" spans="1:21" x14ac:dyDescent="0.25">
      <c r="G30" s="1"/>
      <c r="H30" s="1"/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topLeftCell="D1" zoomScale="85" zoomScaleNormal="85" workbookViewId="0">
      <selection activeCell="K12" sqref="K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54</v>
      </c>
      <c r="T1" t="str">
        <f>IF(OR(I3="",I8="",J5="",J10="",K3="",K5="",K8="",K10=""),"",T2)</f>
        <v/>
      </c>
    </row>
    <row r="2" spans="1:24" x14ac:dyDescent="0.25">
      <c r="A2" t="s">
        <v>23</v>
      </c>
      <c r="B2" t="s">
        <v>24</v>
      </c>
      <c r="C2" t="s">
        <v>25</v>
      </c>
      <c r="D2" t="s">
        <v>6</v>
      </c>
      <c r="E2" t="s">
        <v>7</v>
      </c>
      <c r="F2" t="s">
        <v>27</v>
      </c>
      <c r="G2" t="s">
        <v>28</v>
      </c>
      <c r="H2" t="s">
        <v>29</v>
      </c>
      <c r="I2" t="s">
        <v>30</v>
      </c>
      <c r="J2" t="s">
        <v>31</v>
      </c>
      <c r="K2" t="s">
        <v>32</v>
      </c>
      <c r="L2" t="s">
        <v>33</v>
      </c>
      <c r="M2" t="s">
        <v>34</v>
      </c>
      <c r="N2" t="s">
        <v>35</v>
      </c>
      <c r="O2" t="s">
        <v>36</v>
      </c>
      <c r="P2" t="s">
        <v>37</v>
      </c>
      <c r="Q2" t="s">
        <v>38</v>
      </c>
      <c r="R2" t="s">
        <v>39</v>
      </c>
      <c r="S2" s="1" t="e">
        <f>S3-S4</f>
        <v>#VALUE!</v>
      </c>
      <c r="T2" s="1" t="e">
        <f>T3-T4</f>
        <v>#VALUE!</v>
      </c>
      <c r="V2" t="s">
        <v>50</v>
      </c>
      <c r="W2" t="s">
        <v>51</v>
      </c>
      <c r="X2" t="s">
        <v>52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48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53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22"/>
      <c r="P5" s="1"/>
      <c r="Q5" s="1" t="e">
        <f>G5-J$5</f>
        <v>#VALUE!</v>
      </c>
      <c r="R5" s="1" t="e">
        <f>-(H5-K$5)</f>
        <v>#VALUE!</v>
      </c>
      <c r="U5" t="s">
        <v>49</v>
      </c>
      <c r="V5" s="1"/>
      <c r="W5" s="1"/>
      <c r="X5" s="1"/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24" t="s">
        <v>93</v>
      </c>
      <c r="N6" s="22" t="s">
        <v>94</v>
      </c>
      <c r="O6" s="22" t="s">
        <v>95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22">
        <f>MAX(I3:I11)-MIN(I3:I11)</f>
        <v>0</v>
      </c>
      <c r="N7" s="22">
        <f t="shared" ref="N7:O7" si="1">MAX(J3:J11)-MIN(J3:J11)</f>
        <v>0</v>
      </c>
      <c r="O7" s="22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23">
        <f>SQRT((M7)^2+(N7)^2+(O7)^2)/2</f>
        <v>0</v>
      </c>
      <c r="P8" t="s">
        <v>92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x14ac:dyDescent="0.25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3" spans="1:24" x14ac:dyDescent="0.25">
      <c r="A13" t="s">
        <v>111</v>
      </c>
    </row>
    <row r="14" spans="1:24" x14ac:dyDescent="0.25">
      <c r="D14" s="1"/>
      <c r="E14" s="1"/>
      <c r="F14" s="1"/>
      <c r="G14" s="1"/>
      <c r="H14" s="1"/>
      <c r="I14" s="1"/>
      <c r="J14" s="1"/>
      <c r="K14" s="1"/>
    </row>
    <row r="15" spans="1:24" x14ac:dyDescent="0.25">
      <c r="D15" s="1"/>
      <c r="E15" s="1"/>
      <c r="F15" s="1"/>
      <c r="G15" s="1"/>
      <c r="H15" s="1"/>
      <c r="I15" s="1"/>
      <c r="J15" s="1"/>
      <c r="K15" s="1"/>
      <c r="P15" s="1"/>
    </row>
    <row r="16" spans="1:24" x14ac:dyDescent="0.25">
      <c r="D16" s="1"/>
      <c r="E16" s="1"/>
      <c r="F16" s="1"/>
      <c r="G16" s="1"/>
      <c r="H16" s="1"/>
      <c r="I16" s="1"/>
      <c r="J16" s="1"/>
      <c r="K16" s="1"/>
      <c r="P16" s="1"/>
    </row>
    <row r="17" spans="1:16" x14ac:dyDescent="0.25">
      <c r="D17" s="1"/>
      <c r="E17" s="1"/>
      <c r="F17" s="1"/>
      <c r="G17" s="1"/>
      <c r="H17" s="1"/>
      <c r="I17" s="1"/>
      <c r="J17" s="1"/>
      <c r="K17" s="1"/>
      <c r="P17" s="1"/>
    </row>
    <row r="18" spans="1:16" x14ac:dyDescent="0.25">
      <c r="D18" s="1"/>
      <c r="E18" s="1"/>
      <c r="F18" s="1"/>
      <c r="G18" s="1"/>
      <c r="H18" s="1"/>
      <c r="I18" s="1"/>
      <c r="J18" s="1"/>
      <c r="K18" s="1"/>
      <c r="P18" s="1"/>
    </row>
    <row r="19" spans="1:16" x14ac:dyDescent="0.25">
      <c r="D19" s="1"/>
      <c r="E19" s="1"/>
      <c r="F19" s="1"/>
      <c r="G19" s="1"/>
      <c r="H19" s="1"/>
      <c r="I19" s="1"/>
      <c r="J19" s="1"/>
      <c r="K19" s="1"/>
      <c r="P19" s="1"/>
    </row>
    <row r="20" spans="1:16" x14ac:dyDescent="0.25">
      <c r="D20" s="1"/>
      <c r="E20" s="1"/>
      <c r="F20" s="1"/>
      <c r="G20" s="1"/>
      <c r="H20" s="1"/>
      <c r="I20" s="1"/>
      <c r="J20" s="1"/>
      <c r="K20" s="1"/>
      <c r="P20" s="1"/>
    </row>
    <row r="22" spans="1:16" x14ac:dyDescent="0.25">
      <c r="A22" t="str">
        <f>Data!A19</f>
        <v>ballCBCT</v>
      </c>
    </row>
    <row r="23" spans="1:16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16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16" x14ac:dyDescent="0.25">
      <c r="A25" t="s">
        <v>47</v>
      </c>
      <c r="E25" s="1"/>
    </row>
    <row r="26" spans="1:16" x14ac:dyDescent="0.25">
      <c r="A26" t="s">
        <v>44</v>
      </c>
      <c r="B26" t="s">
        <v>45</v>
      </c>
      <c r="C26" t="s">
        <v>46</v>
      </c>
    </row>
    <row r="27" spans="1:16" x14ac:dyDescent="0.25">
      <c r="A27" s="1">
        <f>-A24</f>
        <v>0</v>
      </c>
      <c r="B27" s="1">
        <f t="shared" ref="B27:C27" si="3">-B24</f>
        <v>0</v>
      </c>
      <c r="C27" s="1">
        <f t="shared" si="3"/>
        <v>0</v>
      </c>
    </row>
  </sheetData>
  <sheetProtection selectLockedCell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Normal="100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34" t="s">
        <v>99</v>
      </c>
      <c r="I2" s="34"/>
      <c r="J2" s="34"/>
      <c r="K2" s="34"/>
      <c r="L2" s="23">
        <f>MAX(L4:L6)</f>
        <v>0</v>
      </c>
      <c r="M2" t="s">
        <v>100</v>
      </c>
    </row>
    <row r="3" spans="1:13" x14ac:dyDescent="0.25">
      <c r="A3" t="s">
        <v>88</v>
      </c>
      <c r="E3" s="11"/>
      <c r="F3" s="11" t="s">
        <v>27</v>
      </c>
      <c r="G3" s="11" t="s">
        <v>29</v>
      </c>
      <c r="H3" s="11" t="s">
        <v>30</v>
      </c>
      <c r="I3" s="11" t="s">
        <v>32</v>
      </c>
      <c r="J3" s="11" t="s">
        <v>96</v>
      </c>
      <c r="K3" s="11" t="s">
        <v>97</v>
      </c>
      <c r="L3" s="11" t="s">
        <v>98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11" t="str">
        <f>IF(AND($A4=180,$B4=0,$C4=0),Preprocess!H24,"")</f>
        <v/>
      </c>
      <c r="F4" s="22" t="str">
        <f>IF(D4="","",-D4)</f>
        <v/>
      </c>
      <c r="G4" s="22" t="str">
        <f>IF(E4="","",-E4)</f>
        <v/>
      </c>
      <c r="H4" s="25">
        <v>-1</v>
      </c>
      <c r="I4" s="25">
        <v>-1</v>
      </c>
      <c r="J4" s="22" t="e">
        <f>F4-H$4</f>
        <v>#VALUE!</v>
      </c>
      <c r="K4" s="22" t="e">
        <f>G4-I$4</f>
        <v>#VALUE!</v>
      </c>
      <c r="L4" s="22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11" t="str">
        <f>IF(AND($A5=180,$B5=90,$C5=0),Preprocess!H25,"")</f>
        <v/>
      </c>
      <c r="F5" s="22" t="str">
        <f t="shared" ref="F5:G7" si="0">IF(D5="","",-D5)</f>
        <v/>
      </c>
      <c r="G5" s="22" t="str">
        <f t="shared" si="0"/>
        <v/>
      </c>
      <c r="H5" s="22"/>
      <c r="I5" s="11"/>
      <c r="J5" s="22" t="e">
        <f>F5-H$4</f>
        <v>#VALUE!</v>
      </c>
      <c r="K5" s="22" t="e">
        <f>G5-I$4</f>
        <v>#VALUE!</v>
      </c>
      <c r="L5" s="22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11" t="str">
        <f>IF(AND($A6=180,$B6=270,$C6=0),Preprocess!H26,"")</f>
        <v/>
      </c>
      <c r="F6" s="22" t="str">
        <f t="shared" si="0"/>
        <v/>
      </c>
      <c r="G6" s="22" t="str">
        <f t="shared" si="0"/>
        <v/>
      </c>
      <c r="H6" s="22"/>
      <c r="I6" s="11"/>
      <c r="J6" s="22" t="e">
        <f t="shared" ref="J6" si="2">F6-H$4</f>
        <v>#VALUE!</v>
      </c>
      <c r="K6" s="22" t="e">
        <f>G6-I$4</f>
        <v>#VALUE!</v>
      </c>
      <c r="L6" s="22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K4" sqref="K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55</v>
      </c>
      <c r="B1" t="s">
        <v>56</v>
      </c>
      <c r="C1" s="3" t="s">
        <v>57</v>
      </c>
      <c r="D1" s="4" t="s">
        <v>57</v>
      </c>
      <c r="E1" s="5" t="s">
        <v>57</v>
      </c>
      <c r="F1" s="3" t="s">
        <v>59</v>
      </c>
      <c r="G1" s="5" t="s">
        <v>59</v>
      </c>
      <c r="H1" s="8" t="s">
        <v>36</v>
      </c>
      <c r="I1" s="8" t="str">
        <f>Analysis!P2</f>
        <v>Coll-Gantry-misalign</v>
      </c>
      <c r="J1" s="8" t="s">
        <v>54</v>
      </c>
      <c r="K1" s="8" t="s">
        <v>61</v>
      </c>
    </row>
    <row r="2" spans="1:11" x14ac:dyDescent="0.25">
      <c r="C2" s="6" t="s">
        <v>58</v>
      </c>
      <c r="D2" t="s">
        <v>58</v>
      </c>
      <c r="E2" s="7" t="s">
        <v>58</v>
      </c>
      <c r="F2" s="6" t="s">
        <v>58</v>
      </c>
      <c r="G2" s="7" t="s">
        <v>58</v>
      </c>
      <c r="H2" s="9"/>
      <c r="I2" s="9" t="s">
        <v>22</v>
      </c>
      <c r="J2" s="9"/>
      <c r="K2" s="9" t="s">
        <v>62</v>
      </c>
    </row>
    <row r="3" spans="1:11" ht="15.75" thickBot="1" x14ac:dyDescent="0.3">
      <c r="C3" s="10" t="s">
        <v>50</v>
      </c>
      <c r="D3" s="11" t="s">
        <v>51</v>
      </c>
      <c r="E3" s="12" t="s">
        <v>52</v>
      </c>
      <c r="F3" s="10" t="s">
        <v>50</v>
      </c>
      <c r="G3" s="12" t="s">
        <v>52</v>
      </c>
      <c r="H3" s="13" t="s">
        <v>60</v>
      </c>
      <c r="I3" s="13" t="s">
        <v>60</v>
      </c>
      <c r="J3" s="13" t="s">
        <v>60</v>
      </c>
      <c r="K3" s="13" t="s">
        <v>60</v>
      </c>
    </row>
    <row r="4" spans="1:11" ht="15.75" thickBot="1" x14ac:dyDescent="0.3">
      <c r="A4" s="20" t="str">
        <f>Data!B1</f>
        <v>Data Date: NA</v>
      </c>
      <c r="B4" t="s">
        <v>82</v>
      </c>
      <c r="C4" s="14" t="e">
        <f>Analysis!V3-Analysis!V$4</f>
        <v>#DIV/0!</v>
      </c>
      <c r="D4" s="15" t="e">
        <f>Analysis!W3-Analysis!W$4</f>
        <v>#DIV/0!</v>
      </c>
      <c r="E4" s="16" t="e">
        <f>Analysis!X3-Analysis!X$4</f>
        <v>#DIV/0!</v>
      </c>
      <c r="F4" s="29"/>
      <c r="G4" s="30"/>
      <c r="H4" s="17" t="str">
        <f>Analysis!O3</f>
        <v/>
      </c>
      <c r="I4" s="18" t="e">
        <f>Analysis!P3</f>
        <v>#DIV/0!</v>
      </c>
      <c r="J4" s="18" t="str">
        <f>Analysis!T1</f>
        <v/>
      </c>
      <c r="K4" s="31"/>
    </row>
    <row r="5" spans="1:11" x14ac:dyDescent="0.25">
      <c r="C5" s="19"/>
      <c r="D5" s="19"/>
      <c r="E5" s="19"/>
      <c r="F5" s="19"/>
      <c r="G5" s="19"/>
      <c r="H5" s="19"/>
      <c r="I5" s="19"/>
      <c r="J5" s="19"/>
      <c r="K5" s="19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65</v>
      </c>
    </row>
    <row r="3" spans="3:6" x14ac:dyDescent="0.25">
      <c r="D3">
        <v>1</v>
      </c>
      <c r="E3" t="s">
        <v>66</v>
      </c>
    </row>
    <row r="4" spans="3:6" x14ac:dyDescent="0.25">
      <c r="D4">
        <v>2</v>
      </c>
      <c r="E4" t="s">
        <v>67</v>
      </c>
    </row>
    <row r="5" spans="3:6" x14ac:dyDescent="0.25">
      <c r="D5">
        <v>3</v>
      </c>
      <c r="E5" t="s">
        <v>68</v>
      </c>
    </row>
    <row r="6" spans="3:6" x14ac:dyDescent="0.25">
      <c r="D6">
        <v>4</v>
      </c>
      <c r="E6" t="s">
        <v>69</v>
      </c>
    </row>
    <row r="7" spans="3:6" x14ac:dyDescent="0.25">
      <c r="E7" t="s">
        <v>70</v>
      </c>
      <c r="F7" t="s">
        <v>71</v>
      </c>
    </row>
    <row r="8" spans="3:6" x14ac:dyDescent="0.25">
      <c r="E8" t="s">
        <v>72</v>
      </c>
      <c r="F8" t="s">
        <v>74</v>
      </c>
    </row>
    <row r="9" spans="3:6" x14ac:dyDescent="0.25">
      <c r="E9" t="s">
        <v>73</v>
      </c>
      <c r="F9" t="s">
        <v>75</v>
      </c>
    </row>
    <row r="10" spans="3:6" x14ac:dyDescent="0.25">
      <c r="E10" t="s">
        <v>76</v>
      </c>
      <c r="F10" t="s">
        <v>77</v>
      </c>
    </row>
    <row r="11" spans="3:6" x14ac:dyDescent="0.25">
      <c r="D11">
        <v>5</v>
      </c>
      <c r="E11" t="s">
        <v>103</v>
      </c>
    </row>
    <row r="12" spans="3:6" x14ac:dyDescent="0.25">
      <c r="D12">
        <v>6</v>
      </c>
      <c r="E12" t="s">
        <v>104</v>
      </c>
    </row>
    <row r="13" spans="3:6" x14ac:dyDescent="0.25">
      <c r="D13">
        <v>8</v>
      </c>
      <c r="E13" t="s">
        <v>78</v>
      </c>
    </row>
    <row r="14" spans="3:6" x14ac:dyDescent="0.25">
      <c r="D14">
        <v>9</v>
      </c>
      <c r="E14" t="s">
        <v>101</v>
      </c>
    </row>
    <row r="15" spans="3:6" x14ac:dyDescent="0.25">
      <c r="D15">
        <v>10</v>
      </c>
      <c r="E15" t="s">
        <v>79</v>
      </c>
    </row>
    <row r="16" spans="3:6" x14ac:dyDescent="0.25">
      <c r="D16">
        <v>11</v>
      </c>
      <c r="E16" t="s">
        <v>105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2025-11-04T00:12:52Z</dcterms:modified>
</cp:coreProperties>
</file>