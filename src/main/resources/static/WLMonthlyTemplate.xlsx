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f\IntelliJ\ws\aqa\src\main\resources\static\"/>
    </mc:Choice>
  </mc:AlternateContent>
  <xr:revisionPtr revIDLastSave="0" documentId="13_ncr:1_{102E992C-2C7A-4421-9F65-25781F4DA4B9}" xr6:coauthVersionLast="47" xr6:coauthVersionMax="47" xr10:uidLastSave="{00000000-0000-0000-0000-000000000000}"/>
  <bookViews>
    <workbookView xWindow="600" yWindow="1095" windowWidth="24645" windowHeight="13185" activeTab="1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Analysis!$L$14:$O$14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Analysis!$L$14</definedName>
    <definedName name="solver_lhs1" localSheetId="4" hidden="1">Collimator!$H$4</definedName>
    <definedName name="solver_lhs2" localSheetId="3" hidden="1">Analysis!$L$14</definedName>
    <definedName name="solver_lhs2" localSheetId="4" hidden="1">Collimator!$H$4</definedName>
    <definedName name="solver_lhs3" localSheetId="3" hidden="1">Analysis!$M$14</definedName>
    <definedName name="solver_lhs3" localSheetId="4" hidden="1">Collimator!$I$4</definedName>
    <definedName name="solver_lhs4" localSheetId="3" hidden="1">Analysis!$M$14</definedName>
    <definedName name="solver_lhs4" localSheetId="4" hidden="1">Collimator!$I$4</definedName>
    <definedName name="solver_lhs5" localSheetId="3" hidden="1">Analysis!$N$14</definedName>
    <definedName name="solver_lhs5" localSheetId="4" hidden="1">Collimator!#REF!</definedName>
    <definedName name="solver_lhs6" localSheetId="3" hidden="1">Analysis!$N$14</definedName>
    <definedName name="solver_lhs6" localSheetId="4" hidden="1">Collimator!#REF!</definedName>
    <definedName name="solver_lhs7" localSheetId="3" hidden="1">Analysis!$O$14</definedName>
    <definedName name="solver_lhs7" localSheetId="4" hidden="1">Collimator!#REF!</definedName>
    <definedName name="solver_lhs8" localSheetId="3" hidden="1">Analysis!$O$14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Analysis!$R$12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3" i="2"/>
  <c r="C3" i="2"/>
  <c r="V5" i="3" l="1"/>
  <c r="X5" i="3"/>
  <c r="A22" i="3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F4" i="2" l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3" i="2"/>
  <c r="V4" i="2" l="1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V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D20" i="2" l="1" a="1"/>
  <c r="D20" i="2" l="1"/>
  <c r="A3" i="3" s="1"/>
  <c r="C4" i="3"/>
  <c r="C10" i="3"/>
  <c r="C15" i="3"/>
  <c r="A18" i="3"/>
  <c r="C5" i="8"/>
  <c r="B5" i="3"/>
  <c r="C18" i="3"/>
  <c r="C7" i="3"/>
  <c r="C11" i="3"/>
  <c r="A19" i="3"/>
  <c r="A8" i="3"/>
  <c r="A14" i="3"/>
  <c r="B19" i="3"/>
  <c r="B8" i="3"/>
  <c r="C19" i="3"/>
  <c r="A6" i="3"/>
  <c r="C14" i="3"/>
  <c r="A5" i="3"/>
  <c r="A7" i="3"/>
  <c r="A11" i="3"/>
  <c r="B18" i="3"/>
  <c r="B5" i="8"/>
  <c r="B7" i="3"/>
  <c r="B11" i="3"/>
  <c r="A5" i="8"/>
  <c r="C5" i="3"/>
  <c r="A16" i="3"/>
  <c r="C4" i="8"/>
  <c r="B16" i="3"/>
  <c r="B4" i="8"/>
  <c r="B3" i="3"/>
  <c r="B14" i="3"/>
  <c r="C16" i="3"/>
  <c r="A4" i="8"/>
  <c r="C8" i="3"/>
  <c r="B6" i="3"/>
  <c r="A9" i="3"/>
  <c r="A20" i="3"/>
  <c r="C6" i="3"/>
  <c r="B9" i="3"/>
  <c r="B20" i="3"/>
  <c r="C9" i="3"/>
  <c r="A17" i="3"/>
  <c r="C20" i="3"/>
  <c r="C6" i="8"/>
  <c r="A4" i="3"/>
  <c r="A10" i="3"/>
  <c r="A15" i="3"/>
  <c r="B17" i="3"/>
  <c r="B6" i="8"/>
  <c r="B4" i="3"/>
  <c r="B10" i="3"/>
  <c r="B15" i="3"/>
  <c r="C17" i="3"/>
  <c r="A6" i="8"/>
  <c r="D15" i="3" l="1"/>
  <c r="F15" i="3" s="1"/>
  <c r="E15" i="3"/>
  <c r="G15" i="3" s="1"/>
  <c r="D14" i="3"/>
  <c r="F14" i="3" s="1"/>
  <c r="E14" i="3"/>
  <c r="G14" i="3" s="1"/>
  <c r="D3" i="3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E19" i="3"/>
  <c r="G19" i="3" s="1"/>
  <c r="D19" i="3"/>
  <c r="M16" i="3"/>
  <c r="L16" i="3"/>
  <c r="L20" i="3"/>
  <c r="M20" i="3"/>
  <c r="D11" i="3"/>
  <c r="G11" i="3" s="1"/>
  <c r="E11" i="3"/>
  <c r="H11" i="3" s="1"/>
  <c r="E6" i="8"/>
  <c r="G6" i="8" s="1"/>
  <c r="K6" i="8" s="1"/>
  <c r="D6" i="8"/>
  <c r="F6" i="8" s="1"/>
  <c r="J6" i="8" s="1"/>
  <c r="D17" i="3"/>
  <c r="F17" i="3" s="1"/>
  <c r="E17" i="3"/>
  <c r="G17" i="3" s="1"/>
  <c r="D7" i="3"/>
  <c r="F7" i="3" s="1"/>
  <c r="E7" i="3"/>
  <c r="H7" i="3" s="1"/>
  <c r="L18" i="3"/>
  <c r="M18" i="3"/>
  <c r="L17" i="3"/>
  <c r="M17" i="3"/>
  <c r="D5" i="3"/>
  <c r="G5" i="3" s="1"/>
  <c r="E5" i="3"/>
  <c r="H5" i="3" s="1"/>
  <c r="D6" i="3"/>
  <c r="G6" i="3" s="1"/>
  <c r="E6" i="3"/>
  <c r="H6" i="3" s="1"/>
  <c r="D18" i="3"/>
  <c r="F18" i="3" s="1"/>
  <c r="E18" i="3"/>
  <c r="G18" i="3" s="1"/>
  <c r="D16" i="3"/>
  <c r="F16" i="3" s="1"/>
  <c r="E16" i="3"/>
  <c r="G16" i="3" s="1"/>
  <c r="M19" i="3"/>
  <c r="L19" i="3"/>
  <c r="M15" i="3"/>
  <c r="L15" i="3"/>
  <c r="D20" i="3"/>
  <c r="F20" i="3" s="1"/>
  <c r="E20" i="3"/>
  <c r="G20" i="3" s="1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I19" i="3"/>
  <c r="K19" i="3" s="1"/>
  <c r="Q19" i="3" s="1"/>
  <c r="I17" i="3"/>
  <c r="K17" i="3" s="1"/>
  <c r="Q17" i="3" s="1"/>
  <c r="I20" i="3"/>
  <c r="K20" i="3" s="1"/>
  <c r="Q20" i="3" s="1"/>
  <c r="I14" i="3"/>
  <c r="K14" i="3" s="1"/>
  <c r="Q14" i="3" s="1"/>
  <c r="I18" i="3"/>
  <c r="K18" i="3" s="1"/>
  <c r="Q18" i="3" s="1"/>
  <c r="I16" i="3"/>
  <c r="K16" i="3" s="1"/>
  <c r="Q16" i="3" s="1"/>
  <c r="H18" i="3"/>
  <c r="J18" i="3" s="1"/>
  <c r="P18" i="3" s="1"/>
  <c r="H17" i="3"/>
  <c r="J17" i="3" s="1"/>
  <c r="P17" i="3" s="1"/>
  <c r="H16" i="3"/>
  <c r="J16" i="3" s="1"/>
  <c r="P16" i="3" s="1"/>
  <c r="H20" i="3"/>
  <c r="J20" i="3" s="1"/>
  <c r="P20" i="3" s="1"/>
  <c r="H14" i="3"/>
  <c r="J14" i="3" s="1"/>
  <c r="H15" i="3"/>
  <c r="J15" i="3" s="1"/>
  <c r="P15" i="3" s="1"/>
  <c r="K10" i="3"/>
  <c r="R10" i="3" s="1"/>
  <c r="I3" i="3"/>
  <c r="Q4" i="3" s="1"/>
  <c r="F19" i="3"/>
  <c r="H19" i="3" s="1"/>
  <c r="J19" i="3" s="1"/>
  <c r="P19" i="3" s="1"/>
  <c r="F5" i="8"/>
  <c r="J5" i="8" s="1"/>
  <c r="L5" i="8" s="1"/>
  <c r="I15" i="3"/>
  <c r="K15" i="3" s="1"/>
  <c r="Q15" i="3" s="1"/>
  <c r="L4" i="8"/>
  <c r="K5" i="3"/>
  <c r="R6" i="3" s="1"/>
  <c r="K8" i="3"/>
  <c r="R9" i="3" s="1"/>
  <c r="Q11" i="3" l="1"/>
  <c r="R8" i="3"/>
  <c r="Q8" i="3"/>
  <c r="R16" i="3"/>
  <c r="R11" i="3"/>
  <c r="R20" i="3"/>
  <c r="Q3" i="3"/>
  <c r="R19" i="3"/>
  <c r="R7" i="3"/>
  <c r="R17" i="3"/>
  <c r="Q7" i="3"/>
  <c r="N3" i="3"/>
  <c r="X4" i="3" s="1"/>
  <c r="O3" i="3"/>
  <c r="O7" i="3"/>
  <c r="R18" i="3"/>
  <c r="R5" i="3"/>
  <c r="M3" i="3"/>
  <c r="W4" i="3" s="1"/>
  <c r="N7" i="3"/>
  <c r="R15" i="3"/>
  <c r="R4" i="3"/>
  <c r="K12" i="3"/>
  <c r="P14" i="3"/>
  <c r="R14" i="3" s="1"/>
  <c r="R3" i="3"/>
  <c r="L3" i="3"/>
  <c r="M7" i="3"/>
  <c r="L2" i="8"/>
  <c r="C12" i="6" s="1"/>
  <c r="Q6" i="3"/>
  <c r="Q5" i="3"/>
  <c r="S4" i="3" l="1"/>
  <c r="T4" i="3"/>
  <c r="S3" i="3"/>
  <c r="O8" i="3"/>
  <c r="C11" i="6" s="1"/>
  <c r="P3" i="3"/>
  <c r="V4" i="3"/>
  <c r="C7" i="6"/>
  <c r="H4" i="4"/>
  <c r="T3" i="3"/>
  <c r="E4" i="4"/>
  <c r="C6" i="6"/>
  <c r="G4" i="4"/>
  <c r="C4" i="6"/>
  <c r="R12" i="3"/>
  <c r="C3" i="6"/>
  <c r="D4" i="4"/>
  <c r="S2" i="3" l="1"/>
  <c r="T2" i="3"/>
  <c r="T1" i="3" s="1"/>
  <c r="C9" i="6" s="1"/>
  <c r="K4" i="4"/>
  <c r="C10" i="6"/>
  <c r="F4" i="4"/>
  <c r="C5" i="6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<sst xmlns="http://schemas.openxmlformats.org/spreadsheetml/2006/main" count="267" uniqueCount="132">
  <si>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</si>
  <si>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</si>
  <si>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</si>
  <si>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</si>
  <si>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</si>
  <si>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</si>
  <si>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</si>
  <si>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</si>
  <si>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</si>
  <si>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</si>
  <si>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</si>
  <si>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</si>
  <si>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</si>
  <si>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</si>
  <si>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</si>
  <si>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</si>
  <si>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</si>
  <si>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</si>
  <si>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</si>
  <si>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</si>
  <si>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</si>
  <si>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</si>
  <si>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</si>
  <si>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Table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</si>
  <si>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</si>
  <si>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</si>
  <si>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</si>
  <si>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</si>
  <si>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</si>
  <si>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</si>
  <si>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</si>
  <si>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</si>
  <si>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</si>
  <si>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</si>
  <si>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</si>
  <si>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</si>
  <si>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</si>
  <si>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</si>
  <si>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</si>
  <si>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</si>
  <si>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</si>
  <si>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BB-X</t>
  </si>
  <si>
    <t>BB-Z</t>
  </si>
  <si>
    <t>Table-X</t>
  </si>
  <si>
    <t>Table-Z</t>
  </si>
  <si>
    <t>BB-X'</t>
  </si>
  <si>
    <t>BB-Z'</t>
  </si>
  <si>
    <t>dX</t>
  </si>
  <si>
    <t>dZ</t>
  </si>
  <si>
    <t>BB-X"</t>
  </si>
  <si>
    <t>BB-Z"</t>
  </si>
  <si>
    <t>BB-R"^2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</si>
  <si>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</si>
  <si>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</si>
  <si>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</si>
  <si>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</si>
  <si>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</si>
  <si>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</si>
  <si>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</si>
  <si>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</si>
  <si>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</si>
  <si>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</si>
  <si>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</si>
  <si>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</si>
  <si>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</si>
  <si>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</si>
  <si>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</si>
  <si>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</si>
  <si>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</si>
  <si>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</si>
  <si>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</si>
  <si>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</si>
  <si>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</si>
  <si>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</si>
  <si>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</si>
  <si>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</si>
  <si>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</si>
  <si>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</si>
  <si>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</si>
  <si>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-&gt;</t>
  </si>
  <si>
    <t>Coordinates in rotated system</t>
  </si>
  <si>
    <t>BB coordinates after minimization</t>
  </si>
  <si>
    <t>sum of squars x^2 +y^2 for each table angle</t>
  </si>
  <si>
    <t>Max square of BB displacement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</si>
  <si>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</si>
  <si>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</si>
  <si>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</si>
  <si>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</si>
  <si>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</si>
  <si>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</si>
  <si>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</si>
  <si>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</si>
  <si>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</si>
  <si>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</si>
  <si>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</si>
  <si>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</si>
  <si>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</si>
  <si>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</si>
  <si>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</si>
  <si>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</si>
  <si>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</si>
  <si>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</si>
  <si>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</si>
  <si>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Table - Gantry Iso X (mm)</t>
  </si>
  <si>
    <t>Table - Gantry Iso Z (mm)</t>
  </si>
  <si>
    <t>Gantry Flex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</si>
  <si>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</si>
  <si>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</si>
  <si>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</si>
  <si>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</si>
  <si>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</si>
  <si>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</si>
  <si>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</si>
  <si>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</si>
  <si>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</si>
  <si>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</si>
  <si>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Solve for smallest max (Couch Isocentricity)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</si>
  <si>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</si>
  <si>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</si>
  <si>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</si>
  <si>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</si>
  <si>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</si>
  <si>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</si>
  <si>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</si>
  <si>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</si>
  <si>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</si>
  <si>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</si>
  <si>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</si>
  <si>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</si>
  <si>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</si>
  <si>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</si>
  <si>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To re-calculate spreadsheet in Excel, use CTRL-ALT-SHIFT-F9 and then run the solver on each of the Analysis and Collimator sheets.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</si>
</sst>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2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2" fontId="0" fillId="3" borderId="2" xfId="0" applyNumberFormat="1" applyFill="1" applyBorder="1"/>
    <xf numFmtId="2" fontId="0" fillId="4" borderId="3" xfId="0" applyNumberFormat="1" applyFill="1" applyBorder="1"/>
    <xf numFmtId="2" fontId="0" fillId="4" borderId="4" xfId="0" applyNumberFormat="1" applyFill="1" applyBorder="1"/>
    <xf numFmtId="2" fontId="0" fillId="4" borderId="5" xfId="0" applyNumberFormat="1" applyFill="1" applyBorder="1"/>
    <xf numFmtId="2" fontId="0" fillId="4" borderId="6" xfId="0" applyNumberFormat="1" applyFill="1" applyBorder="1"/>
    <xf numFmtId="2" fontId="0" fillId="4" borderId="7" xfId="0" applyNumberFormat="1" applyFill="1" applyBorder="1"/>
    <xf numFmtId="2" fontId="0" fillId="4" borderId="8" xfId="0" applyNumberFormat="1" applyFill="1" applyBorder="1"/>
    <xf numFmtId="2" fontId="0" fillId="4" borderId="9" xfId="0" applyNumberFormat="1" applyFill="1" applyBorder="1"/>
    <xf numFmtId="2" fontId="0" fillId="4" borderId="10" xfId="0" applyNumberFormat="1" applyFill="1" applyBorder="1"/>
    <xf numFmtId="0" fontId="0" fillId="4" borderId="0" xfId="0" quotePrefix="1" applyFill="1"/>
    <xf numFmtId="0" fontId="0" fillId="0" borderId="3" xfId="0" applyBorder="1"/>
    <xf numFmtId="0" fontId="0" fillId="0" borderId="1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2" fontId="0" fillId="2" borderId="0" xfId="0" applyNumberFormat="1" applyFill="1" applyProtection="1">
      <protection locked="0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Table</a:t>
            </a:r>
            <a:r>
              <a:rPr lang="en-US" baseline="0"/>
              <a:t> Wobble about Table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Analysis!$K$13</c:f>
              <c:strCache>
                <c:ptCount val="1"/>
                <c:pt idx="0">
                  <c:v>BB-Z'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Analysis!$P$14:$P$20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xVal>
          <c:yVal>
            <c:numRef>
              <c:f>Analysis!$Q$14:$Q$20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E-426E-8FA0-A8F918C99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253408"/>
        <c:axId val="764257344"/>
      </c:scatterChart>
      <c:valAx>
        <c:axId val="764253408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7344"/>
        <c:crosses val="autoZero"/>
        <c:crossBetween val="midCat"/>
      </c:valAx>
      <c:valAx>
        <c:axId val="764257344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5</xdr:row>
      <xdr:rowOff>0</xdr:rowOff>
    </xdr:from>
    <xdr:to>
      <xdr:col>3</xdr:col>
      <xdr:colOff>409575</xdr:colOff>
      <xdr:row>27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419100</xdr:colOff>
      <xdr:row>4</xdr:row>
      <xdr:rowOff>180974</xdr:rowOff>
    </xdr:from>
    <xdr:to>
      <xdr:col>7</xdr:col>
      <xdr:colOff>457200</xdr:colOff>
      <xdr:row>27</xdr:row>
      <xdr:rowOff>152399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928A91-DAB6-481C-9572-A7F8D210E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C12"/>
  <sheetViews>
    <sheetView workbookViewId="0">
      <selection activeCell="L12" sqref="L12"/>
    </sheetView>
  </sheetViews>
  <sheetFormatPr defaultRowHeight="15" x14ac:dyDescent="0.25"/>
  <cols>
    <col min="2" max="2" width="21.5703125" customWidth="1"/>
    <col min="3" max="3" width="8.85546875" style="22"/>
  </cols>
  <sheetData>
    <row r="2" spans="2:3" x14ac:dyDescent="0.25">
      <c r="B2" s="33" t="s">
        <v>100</v>
      </c>
      <c r="C2" s="34" t="e">
        <f>Analysis!V3-Analysis!V$4</f>
        <v>#DIV/0!</v>
      </c>
    </row>
    <row r="3" spans="2:3" x14ac:dyDescent="0.25">
      <c r="B3" s="33" t="s">
        <v>101</v>
      </c>
      <c r="C3" s="34" t="e">
        <f>Analysis!W3-Analysis!W$4</f>
        <v>#DIV/0!</v>
      </c>
    </row>
    <row r="4" spans="2:3" x14ac:dyDescent="0.25">
      <c r="B4" s="33" t="s">
        <v>102</v>
      </c>
      <c r="C4" s="34" t="e">
        <f>Analysis!X3-Analysis!X$4</f>
        <v>#DIV/0!</v>
      </c>
    </row>
    <row r="5" spans="2:3" x14ac:dyDescent="0.25">
      <c r="B5" s="33" t="s">
        <v>103</v>
      </c>
      <c r="C5" s="34" t="e">
        <f>Analysis!V5-Analysis!V$4</f>
        <v>#DIV/0!</v>
      </c>
    </row>
    <row r="6" spans="2:3" x14ac:dyDescent="0.25">
      <c r="B6" s="33" t="s">
        <v>104</v>
      </c>
      <c r="C6" s="34" t="e">
        <f>Analysis!X5-Analysis!X$4</f>
        <v>#DIV/0!</v>
      </c>
    </row>
    <row r="7" spans="2:3" x14ac:dyDescent="0.25">
      <c r="B7" s="33" t="s">
        <v>105</v>
      </c>
      <c r="C7" s="34" t="str">
        <f>Analysis!O3</f>
        <v/>
      </c>
    </row>
    <row r="8" spans="2:3" x14ac:dyDescent="0.25">
      <c r="B8" s="33" t="s">
        <v>106</v>
      </c>
      <c r="C8" s="34" t="e">
        <f>Analysis!P3</f>
        <v>#DIV/0!</v>
      </c>
    </row>
    <row r="9" spans="2:3" x14ac:dyDescent="0.25">
      <c r="B9" s="33" t="s">
        <v>107</v>
      </c>
      <c r="C9" s="34" t="str">
        <f>Analysis!T1</f>
        <v/>
      </c>
    </row>
    <row r="10" spans="2:3" x14ac:dyDescent="0.25">
      <c r="B10" s="33" t="s">
        <v>109</v>
      </c>
      <c r="C10" s="34">
        <f>SQRT(Analysis!R12)</f>
        <v>0</v>
      </c>
    </row>
    <row r="11" spans="2:3" x14ac:dyDescent="0.25">
      <c r="B11" s="33" t="s">
        <v>110</v>
      </c>
      <c r="C11" s="34">
        <f>Analysis!O8</f>
        <v>0</v>
      </c>
    </row>
    <row r="12" spans="2:3" x14ac:dyDescent="0.25">
      <c r="B12" s="33" t="s">
        <v>111</v>
      </c>
      <c r="C12" s="34">
        <f>Collimator!L2</f>
        <v>0</v>
      </c>
    </row>
  </sheetData>
  <sheetProtection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tabSelected="1" workbookViewId="0">
      <selection activeCell="G21" sqref="G2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38" t="s">
        <v>130</v>
      </c>
      <c r="B1" s="38" t="s">
        <v>128</v>
      </c>
      <c r="C1" s="38" t="s">
        <v>129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x14ac:dyDescent="0.25">
      <c r="A2" s="38" t="s">
        <v>0</v>
      </c>
      <c r="B2" s="38" t="s">
        <v>1</v>
      </c>
      <c r="C2" s="38" t="s">
        <v>2</v>
      </c>
      <c r="D2" s="38" t="s">
        <v>5</v>
      </c>
      <c r="E2" s="38" t="s">
        <v>3</v>
      </c>
      <c r="F2" s="38" t="s">
        <v>4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16</v>
      </c>
      <c r="R2" s="38" t="s">
        <v>17</v>
      </c>
      <c r="S2" s="38" t="s">
        <v>18</v>
      </c>
      <c r="T2" s="38" t="s">
        <v>19</v>
      </c>
      <c r="U2" s="38" t="s">
        <v>20</v>
      </c>
      <c r="V2" s="38" t="s">
        <v>21</v>
      </c>
      <c r="W2" s="38" t="s">
        <v>123</v>
      </c>
      <c r="X2" s="38" t="s">
        <v>97</v>
      </c>
      <c r="Y2" s="38" t="s">
        <v>98</v>
      </c>
    </row>
    <row r="3" spans="1:25" x14ac:dyDescent="0.25">
      <c r="A3" s="38" t="s">
        <v>127</v>
      </c>
      <c r="B3" s="38" t="s">
        <v>127</v>
      </c>
      <c r="C3" s="38" t="s">
        <v>127</v>
      </c>
      <c r="D3" s="38">
        <v>-1</v>
      </c>
      <c r="E3" s="38">
        <v>-1</v>
      </c>
      <c r="F3" s="38">
        <v>-1</v>
      </c>
      <c r="G3" s="38">
        <v>-1</v>
      </c>
      <c r="H3" s="38">
        <v>-1</v>
      </c>
      <c r="I3" s="38">
        <v>-1</v>
      </c>
      <c r="J3" s="38">
        <v>-1</v>
      </c>
      <c r="K3" s="38">
        <v>-1</v>
      </c>
      <c r="L3" s="38">
        <v>-1</v>
      </c>
      <c r="M3" s="38">
        <v>-1</v>
      </c>
      <c r="N3" s="38">
        <v>-1</v>
      </c>
      <c r="O3" s="38">
        <v>-1</v>
      </c>
      <c r="P3" s="38">
        <v>-1</v>
      </c>
      <c r="Q3" s="38">
        <v>-1</v>
      </c>
      <c r="R3" s="38">
        <v>-1</v>
      </c>
      <c r="S3" s="38">
        <v>-1</v>
      </c>
      <c r="T3" s="38">
        <v>-1</v>
      </c>
      <c r="U3" s="38">
        <v>-1</v>
      </c>
      <c r="V3" s="38" t="s">
        <v>127</v>
      </c>
      <c r="W3" s="38" t="s">
        <v>127</v>
      </c>
      <c r="X3" s="38" t="s">
        <v>127</v>
      </c>
      <c r="Y3" s="38" t="s">
        <v>127</v>
      </c>
    </row>
    <row r="4" spans="1:25" x14ac:dyDescent="0.25">
      <c r="A4" s="38" t="s">
        <v>127</v>
      </c>
      <c r="B4" s="38" t="s">
        <v>127</v>
      </c>
      <c r="C4" s="38" t="s">
        <v>127</v>
      </c>
      <c r="D4" s="38">
        <v>-1</v>
      </c>
      <c r="E4" s="38">
        <v>-1</v>
      </c>
      <c r="F4" s="38">
        <v>-1</v>
      </c>
      <c r="G4" s="38">
        <v>-1</v>
      </c>
      <c r="H4" s="38">
        <v>-1</v>
      </c>
      <c r="I4" s="38">
        <v>-1</v>
      </c>
      <c r="J4" s="38">
        <v>-1</v>
      </c>
      <c r="K4" s="38">
        <v>-1</v>
      </c>
      <c r="L4" s="38">
        <v>-1</v>
      </c>
      <c r="M4" s="38">
        <v>-1</v>
      </c>
      <c r="N4" s="38">
        <v>-1</v>
      </c>
      <c r="O4" s="38">
        <v>-1</v>
      </c>
      <c r="P4" s="38">
        <v>-1</v>
      </c>
      <c r="Q4" s="38">
        <v>-1</v>
      </c>
      <c r="R4" s="38">
        <v>-1</v>
      </c>
      <c r="S4" s="38">
        <v>-1</v>
      </c>
      <c r="T4" s="38">
        <v>-1</v>
      </c>
      <c r="U4" s="38">
        <v>-1</v>
      </c>
      <c r="V4" s="38" t="s">
        <v>127</v>
      </c>
      <c r="W4" s="38" t="s">
        <v>127</v>
      </c>
      <c r="X4" s="38" t="s">
        <v>127</v>
      </c>
      <c r="Y4" s="38" t="s">
        <v>127</v>
      </c>
    </row>
    <row r="5" spans="1:25" x14ac:dyDescent="0.25">
      <c r="A5" s="38" t="s">
        <v>127</v>
      </c>
      <c r="B5" s="38" t="s">
        <v>127</v>
      </c>
      <c r="C5" s="38" t="s">
        <v>127</v>
      </c>
      <c r="D5" s="38">
        <v>-1</v>
      </c>
      <c r="E5" s="38">
        <v>-1</v>
      </c>
      <c r="F5" s="38">
        <v>-1</v>
      </c>
      <c r="G5" s="38">
        <v>-1</v>
      </c>
      <c r="H5" s="38">
        <v>-1</v>
      </c>
      <c r="I5" s="38">
        <v>-1</v>
      </c>
      <c r="J5" s="38">
        <v>-1</v>
      </c>
      <c r="K5" s="38">
        <v>-1</v>
      </c>
      <c r="L5" s="38">
        <v>-1</v>
      </c>
      <c r="M5" s="38">
        <v>-1</v>
      </c>
      <c r="N5" s="38">
        <v>-1</v>
      </c>
      <c r="O5" s="38">
        <v>-1</v>
      </c>
      <c r="P5" s="38">
        <v>-1</v>
      </c>
      <c r="Q5" s="38">
        <v>-1</v>
      </c>
      <c r="R5" s="38">
        <v>-1</v>
      </c>
      <c r="S5" s="38">
        <v>-1</v>
      </c>
      <c r="T5" s="38">
        <v>-1</v>
      </c>
      <c r="U5" s="38">
        <v>-1</v>
      </c>
      <c r="V5" s="38" t="s">
        <v>127</v>
      </c>
      <c r="W5" s="38" t="s">
        <v>127</v>
      </c>
      <c r="X5" s="38" t="s">
        <v>127</v>
      </c>
      <c r="Y5" s="38" t="s">
        <v>127</v>
      </c>
    </row>
    <row r="6" spans="1:25" x14ac:dyDescent="0.25">
      <c r="A6" s="38" t="s">
        <v>127</v>
      </c>
      <c r="B6" s="38" t="s">
        <v>127</v>
      </c>
      <c r="C6" s="38" t="s">
        <v>127</v>
      </c>
      <c r="D6" s="38">
        <v>-1</v>
      </c>
      <c r="E6" s="38">
        <v>-1</v>
      </c>
      <c r="F6" s="38">
        <v>-1</v>
      </c>
      <c r="G6" s="38">
        <v>-1</v>
      </c>
      <c r="H6" s="38">
        <v>-1</v>
      </c>
      <c r="I6" s="38">
        <v>-1</v>
      </c>
      <c r="J6" s="38">
        <v>-1</v>
      </c>
      <c r="K6" s="38">
        <v>-1</v>
      </c>
      <c r="L6" s="38">
        <v>-1</v>
      </c>
      <c r="M6" s="38">
        <v>-1</v>
      </c>
      <c r="N6" s="38">
        <v>-1</v>
      </c>
      <c r="O6" s="38">
        <v>-1</v>
      </c>
      <c r="P6" s="38">
        <v>-1</v>
      </c>
      <c r="Q6" s="38">
        <v>-1</v>
      </c>
      <c r="R6" s="38">
        <v>-1</v>
      </c>
      <c r="S6" s="38">
        <v>-1</v>
      </c>
      <c r="T6" s="38">
        <v>-1</v>
      </c>
      <c r="U6" s="38">
        <v>-1</v>
      </c>
      <c r="V6" s="38" t="s">
        <v>127</v>
      </c>
      <c r="W6" s="38" t="s">
        <v>127</v>
      </c>
      <c r="X6" s="38" t="s">
        <v>127</v>
      </c>
      <c r="Y6" s="38" t="s">
        <v>127</v>
      </c>
    </row>
    <row r="7" spans="1:25" x14ac:dyDescent="0.25">
      <c r="A7" s="38" t="s">
        <v>127</v>
      </c>
      <c r="B7" s="38" t="s">
        <v>127</v>
      </c>
      <c r="C7" s="38" t="s">
        <v>127</v>
      </c>
      <c r="D7" s="38">
        <v>-1</v>
      </c>
      <c r="E7" s="38">
        <v>-1</v>
      </c>
      <c r="F7" s="38">
        <v>-1</v>
      </c>
      <c r="G7" s="38">
        <v>-1</v>
      </c>
      <c r="H7" s="38">
        <v>-1</v>
      </c>
      <c r="I7" s="38">
        <v>-1</v>
      </c>
      <c r="J7" s="38">
        <v>-1</v>
      </c>
      <c r="K7" s="38">
        <v>-1</v>
      </c>
      <c r="L7" s="38">
        <v>-1</v>
      </c>
      <c r="M7" s="38">
        <v>-1</v>
      </c>
      <c r="N7" s="38">
        <v>-1</v>
      </c>
      <c r="O7" s="38">
        <v>-1</v>
      </c>
      <c r="P7" s="38">
        <v>-1</v>
      </c>
      <c r="Q7" s="38">
        <v>-1</v>
      </c>
      <c r="R7" s="38">
        <v>-1</v>
      </c>
      <c r="S7" s="38">
        <v>-1</v>
      </c>
      <c r="T7" s="38">
        <v>-1</v>
      </c>
      <c r="U7" s="38">
        <v>-1</v>
      </c>
      <c r="V7" s="38" t="s">
        <v>127</v>
      </c>
      <c r="W7" s="38" t="s">
        <v>127</v>
      </c>
      <c r="X7" s="38" t="s">
        <v>127</v>
      </c>
      <c r="Y7" s="38" t="s">
        <v>127</v>
      </c>
    </row>
    <row r="8" spans="1:25" x14ac:dyDescent="0.25">
      <c r="A8" s="38" t="s">
        <v>127</v>
      </c>
      <c r="B8" s="38" t="s">
        <v>127</v>
      </c>
      <c r="C8" s="38" t="s">
        <v>127</v>
      </c>
      <c r="D8" s="38">
        <v>-1</v>
      </c>
      <c r="E8" s="38">
        <v>-1</v>
      </c>
      <c r="F8" s="38">
        <v>-1</v>
      </c>
      <c r="G8" s="38">
        <v>-1</v>
      </c>
      <c r="H8" s="38">
        <v>-1</v>
      </c>
      <c r="I8" s="38">
        <v>-1</v>
      </c>
      <c r="J8" s="38">
        <v>-1</v>
      </c>
      <c r="K8" s="38">
        <v>-1</v>
      </c>
      <c r="L8" s="38">
        <v>-1</v>
      </c>
      <c r="M8" s="38">
        <v>-1</v>
      </c>
      <c r="N8" s="38">
        <v>-1</v>
      </c>
      <c r="O8" s="38">
        <v>-1</v>
      </c>
      <c r="P8" s="38">
        <v>-1</v>
      </c>
      <c r="Q8" s="38">
        <v>-1</v>
      </c>
      <c r="R8" s="38">
        <v>-1</v>
      </c>
      <c r="S8" s="38">
        <v>-1</v>
      </c>
      <c r="T8" s="38">
        <v>-1</v>
      </c>
      <c r="U8" s="38">
        <v>-1</v>
      </c>
      <c r="V8" s="38" t="s">
        <v>127</v>
      </c>
      <c r="W8" s="38" t="s">
        <v>127</v>
      </c>
      <c r="X8" s="38" t="s">
        <v>127</v>
      </c>
      <c r="Y8" s="38" t="s">
        <v>127</v>
      </c>
    </row>
    <row r="9" spans="1:25" x14ac:dyDescent="0.25">
      <c r="A9" s="38" t="s">
        <v>127</v>
      </c>
      <c r="B9" s="38" t="s">
        <v>127</v>
      </c>
      <c r="C9" s="38" t="s">
        <v>127</v>
      </c>
      <c r="D9" s="38">
        <v>-1</v>
      </c>
      <c r="E9" s="38">
        <v>-1</v>
      </c>
      <c r="F9" s="38">
        <v>-1</v>
      </c>
      <c r="G9" s="38">
        <v>-1</v>
      </c>
      <c r="H9" s="38">
        <v>-1</v>
      </c>
      <c r="I9" s="38">
        <v>-1</v>
      </c>
      <c r="J9" s="38">
        <v>-1</v>
      </c>
      <c r="K9" s="38">
        <v>-1</v>
      </c>
      <c r="L9" s="38">
        <v>-1</v>
      </c>
      <c r="M9" s="38">
        <v>-1</v>
      </c>
      <c r="N9" s="38">
        <v>-1</v>
      </c>
      <c r="O9" s="38">
        <v>-1</v>
      </c>
      <c r="P9" s="38">
        <v>-1</v>
      </c>
      <c r="Q9" s="38">
        <v>-1</v>
      </c>
      <c r="R9" s="38">
        <v>-1</v>
      </c>
      <c r="S9" s="38">
        <v>-1</v>
      </c>
      <c r="T9" s="38">
        <v>-1</v>
      </c>
      <c r="U9" s="38">
        <v>-1</v>
      </c>
      <c r="V9" s="38" t="s">
        <v>127</v>
      </c>
      <c r="W9" s="38" t="s">
        <v>127</v>
      </c>
      <c r="X9" s="38" t="s">
        <v>127</v>
      </c>
      <c r="Y9" s="38" t="s">
        <v>127</v>
      </c>
    </row>
    <row r="10" spans="1:25" x14ac:dyDescent="0.25">
      <c r="A10" s="38" t="s">
        <v>127</v>
      </c>
      <c r="B10" s="38" t="s">
        <v>127</v>
      </c>
      <c r="C10" s="38" t="s">
        <v>127</v>
      </c>
      <c r="D10" s="38">
        <v>-1</v>
      </c>
      <c r="E10" s="38">
        <v>-1</v>
      </c>
      <c r="F10" s="38">
        <v>-1</v>
      </c>
      <c r="G10" s="38">
        <v>-1</v>
      </c>
      <c r="H10" s="38">
        <v>-1</v>
      </c>
      <c r="I10" s="38">
        <v>-1</v>
      </c>
      <c r="J10" s="38">
        <v>-1</v>
      </c>
      <c r="K10" s="38">
        <v>-1</v>
      </c>
      <c r="L10" s="38">
        <v>-1</v>
      </c>
      <c r="M10" s="38">
        <v>-1</v>
      </c>
      <c r="N10" s="38">
        <v>-1</v>
      </c>
      <c r="O10" s="38">
        <v>-1</v>
      </c>
      <c r="P10" s="38">
        <v>-1</v>
      </c>
      <c r="Q10" s="38">
        <v>-1</v>
      </c>
      <c r="R10" s="38">
        <v>-1</v>
      </c>
      <c r="S10" s="38">
        <v>-1</v>
      </c>
      <c r="T10" s="38">
        <v>-1</v>
      </c>
      <c r="U10" s="38">
        <v>-1</v>
      </c>
      <c r="V10" s="38" t="s">
        <v>127</v>
      </c>
      <c r="W10" s="38" t="s">
        <v>127</v>
      </c>
      <c r="X10" s="38" t="s">
        <v>127</v>
      </c>
      <c r="Y10" s="38" t="s">
        <v>127</v>
      </c>
    </row>
    <row r="11" spans="1:25" x14ac:dyDescent="0.25">
      <c r="A11" s="38" t="s">
        <v>127</v>
      </c>
      <c r="B11" s="38" t="s">
        <v>127</v>
      </c>
      <c r="C11" s="38" t="s">
        <v>127</v>
      </c>
      <c r="D11" s="38">
        <v>-1</v>
      </c>
      <c r="E11" s="38">
        <v>-1</v>
      </c>
      <c r="F11" s="38">
        <v>-1</v>
      </c>
      <c r="G11" s="38">
        <v>-1</v>
      </c>
      <c r="H11" s="38">
        <v>-1</v>
      </c>
      <c r="I11" s="38">
        <v>-1</v>
      </c>
      <c r="J11" s="38">
        <v>-1</v>
      </c>
      <c r="K11" s="38">
        <v>-1</v>
      </c>
      <c r="L11" s="38">
        <v>-1</v>
      </c>
      <c r="M11" s="38">
        <v>-1</v>
      </c>
      <c r="N11" s="38">
        <v>-1</v>
      </c>
      <c r="O11" s="38">
        <v>-1</v>
      </c>
      <c r="P11" s="38">
        <v>-1</v>
      </c>
      <c r="Q11" s="38">
        <v>-1</v>
      </c>
      <c r="R11" s="38">
        <v>-1</v>
      </c>
      <c r="S11" s="38">
        <v>-1</v>
      </c>
      <c r="T11" s="38">
        <v>-1</v>
      </c>
      <c r="U11" s="38">
        <v>-1</v>
      </c>
      <c r="V11" s="38" t="s">
        <v>127</v>
      </c>
      <c r="W11" s="38" t="s">
        <v>127</v>
      </c>
      <c r="X11" s="38" t="s">
        <v>127</v>
      </c>
      <c r="Y11" s="38" t="s">
        <v>127</v>
      </c>
    </row>
    <row r="12" spans="1:25" x14ac:dyDescent="0.25">
      <c r="A12" s="38" t="s">
        <v>127</v>
      </c>
      <c r="B12" s="38" t="s">
        <v>127</v>
      </c>
      <c r="C12" s="38" t="s">
        <v>127</v>
      </c>
      <c r="D12" s="38">
        <v>-1</v>
      </c>
      <c r="E12" s="38">
        <v>-1</v>
      </c>
      <c r="F12" s="38">
        <v>-1</v>
      </c>
      <c r="G12" s="38">
        <v>-1</v>
      </c>
      <c r="H12" s="38">
        <v>-1</v>
      </c>
      <c r="I12" s="38">
        <v>-1</v>
      </c>
      <c r="J12" s="38">
        <v>-1</v>
      </c>
      <c r="K12" s="38">
        <v>-1</v>
      </c>
      <c r="L12" s="38">
        <v>-1</v>
      </c>
      <c r="M12" s="38">
        <v>-1</v>
      </c>
      <c r="N12" s="38">
        <v>-1</v>
      </c>
      <c r="O12" s="38">
        <v>-1</v>
      </c>
      <c r="P12" s="38">
        <v>-1</v>
      </c>
      <c r="Q12" s="38">
        <v>-1</v>
      </c>
      <c r="R12" s="38">
        <v>-1</v>
      </c>
      <c r="S12" s="38">
        <v>-1</v>
      </c>
      <c r="T12" s="38">
        <v>-1</v>
      </c>
      <c r="U12" s="38">
        <v>-1</v>
      </c>
      <c r="V12" s="38" t="s">
        <v>127</v>
      </c>
      <c r="W12" s="38" t="s">
        <v>127</v>
      </c>
      <c r="X12" s="38" t="s">
        <v>127</v>
      </c>
      <c r="Y12" s="38" t="s">
        <v>127</v>
      </c>
    </row>
    <row r="13" spans="1:25" x14ac:dyDescent="0.25">
      <c r="A13" s="38" t="s">
        <v>127</v>
      </c>
      <c r="B13" s="38" t="s">
        <v>127</v>
      </c>
      <c r="C13" s="38" t="s">
        <v>127</v>
      </c>
      <c r="D13" s="38">
        <v>-1</v>
      </c>
      <c r="E13" s="38">
        <v>-1</v>
      </c>
      <c r="F13" s="38">
        <v>-1</v>
      </c>
      <c r="G13" s="38">
        <v>-1</v>
      </c>
      <c r="H13" s="38">
        <v>-1</v>
      </c>
      <c r="I13" s="38">
        <v>-1</v>
      </c>
      <c r="J13" s="38">
        <v>-1</v>
      </c>
      <c r="K13" s="38">
        <v>-1</v>
      </c>
      <c r="L13" s="38">
        <v>-1</v>
      </c>
      <c r="M13" s="38">
        <v>-1</v>
      </c>
      <c r="N13" s="38">
        <v>-1</v>
      </c>
      <c r="O13" s="38">
        <v>-1</v>
      </c>
      <c r="P13" s="38">
        <v>-1</v>
      </c>
      <c r="Q13" s="38">
        <v>-1</v>
      </c>
      <c r="R13" s="38">
        <v>-1</v>
      </c>
      <c r="S13" s="38">
        <v>-1</v>
      </c>
      <c r="T13" s="38">
        <v>-1</v>
      </c>
      <c r="U13" s="38">
        <v>-1</v>
      </c>
      <c r="V13" s="38" t="s">
        <v>127</v>
      </c>
      <c r="W13" s="38" t="s">
        <v>127</v>
      </c>
      <c r="X13" s="38" t="s">
        <v>127</v>
      </c>
      <c r="Y13" s="38" t="s">
        <v>127</v>
      </c>
    </row>
    <row r="14" spans="1:25" x14ac:dyDescent="0.25">
      <c r="A14" s="38" t="s">
        <v>127</v>
      </c>
      <c r="B14" s="38" t="s">
        <v>127</v>
      </c>
      <c r="C14" s="38" t="s">
        <v>127</v>
      </c>
      <c r="D14" s="38">
        <v>-1</v>
      </c>
      <c r="E14" s="38">
        <v>-1</v>
      </c>
      <c r="F14" s="38">
        <v>-1</v>
      </c>
      <c r="G14" s="38">
        <v>-1</v>
      </c>
      <c r="H14" s="38">
        <v>-1</v>
      </c>
      <c r="I14" s="38">
        <v>-1</v>
      </c>
      <c r="J14" s="38">
        <v>-1</v>
      </c>
      <c r="K14" s="38">
        <v>-1</v>
      </c>
      <c r="L14" s="38">
        <v>-1</v>
      </c>
      <c r="M14" s="38">
        <v>-1</v>
      </c>
      <c r="N14" s="38">
        <v>-1</v>
      </c>
      <c r="O14" s="38">
        <v>-1</v>
      </c>
      <c r="P14" s="38">
        <v>-1</v>
      </c>
      <c r="Q14" s="38">
        <v>-1</v>
      </c>
      <c r="R14" s="38">
        <v>-1</v>
      </c>
      <c r="S14" s="38">
        <v>-1</v>
      </c>
      <c r="T14" s="38">
        <v>-1</v>
      </c>
      <c r="U14" s="38">
        <v>-1</v>
      </c>
      <c r="V14" s="38" t="s">
        <v>127</v>
      </c>
      <c r="W14" s="38" t="s">
        <v>127</v>
      </c>
      <c r="X14" s="38" t="s">
        <v>127</v>
      </c>
      <c r="Y14" s="38" t="s">
        <v>127</v>
      </c>
    </row>
    <row r="15" spans="1:25" x14ac:dyDescent="0.25">
      <c r="A15" s="38" t="s">
        <v>127</v>
      </c>
      <c r="B15" s="38" t="s">
        <v>127</v>
      </c>
      <c r="C15" s="38" t="s">
        <v>127</v>
      </c>
      <c r="D15" s="38">
        <v>-1</v>
      </c>
      <c r="E15" s="38">
        <v>-1</v>
      </c>
      <c r="F15" s="38">
        <v>-1</v>
      </c>
      <c r="G15" s="38">
        <v>-1</v>
      </c>
      <c r="H15" s="38">
        <v>-1</v>
      </c>
      <c r="I15" s="38">
        <v>-1</v>
      </c>
      <c r="J15" s="38">
        <v>-1</v>
      </c>
      <c r="K15" s="38">
        <v>-1</v>
      </c>
      <c r="L15" s="38">
        <v>-1</v>
      </c>
      <c r="M15" s="38">
        <v>-1</v>
      </c>
      <c r="N15" s="38">
        <v>-1</v>
      </c>
      <c r="O15" s="38">
        <v>-1</v>
      </c>
      <c r="P15" s="38">
        <v>-1</v>
      </c>
      <c r="Q15" s="38">
        <v>-1</v>
      </c>
      <c r="R15" s="38">
        <v>-1</v>
      </c>
      <c r="S15" s="38">
        <v>-1</v>
      </c>
      <c r="T15" s="38">
        <v>-1</v>
      </c>
      <c r="U15" s="38">
        <v>-1</v>
      </c>
      <c r="V15" s="38" t="s">
        <v>127</v>
      </c>
      <c r="W15" s="38" t="s">
        <v>127</v>
      </c>
      <c r="X15" s="38" t="s">
        <v>127</v>
      </c>
      <c r="Y15" s="38" t="s">
        <v>127</v>
      </c>
    </row>
    <row r="16" spans="1:25" x14ac:dyDescent="0.25">
      <c r="A16" s="38" t="s">
        <v>127</v>
      </c>
      <c r="B16" s="38" t="s">
        <v>127</v>
      </c>
      <c r="C16" s="38" t="s">
        <v>127</v>
      </c>
      <c r="D16" s="38">
        <v>-1</v>
      </c>
      <c r="E16" s="38">
        <v>-1</v>
      </c>
      <c r="F16" s="38">
        <v>-1</v>
      </c>
      <c r="G16" s="38">
        <v>-1</v>
      </c>
      <c r="H16" s="38">
        <v>-1</v>
      </c>
      <c r="I16" s="38">
        <v>-1</v>
      </c>
      <c r="J16" s="38">
        <v>-1</v>
      </c>
      <c r="K16" s="38">
        <v>-1</v>
      </c>
      <c r="L16" s="38">
        <v>-1</v>
      </c>
      <c r="M16" s="38">
        <v>-1</v>
      </c>
      <c r="N16" s="38">
        <v>-1</v>
      </c>
      <c r="O16" s="38">
        <v>-1</v>
      </c>
      <c r="P16" s="38">
        <v>-1</v>
      </c>
      <c r="Q16" s="38">
        <v>-1</v>
      </c>
      <c r="R16" s="38">
        <v>-1</v>
      </c>
      <c r="S16" s="38">
        <v>-1</v>
      </c>
      <c r="T16" s="38">
        <v>-1</v>
      </c>
      <c r="U16" s="38">
        <v>-1</v>
      </c>
      <c r="V16" s="38" t="s">
        <v>127</v>
      </c>
      <c r="W16" s="38" t="s">
        <v>127</v>
      </c>
      <c r="X16" s="38" t="s">
        <v>127</v>
      </c>
      <c r="Y16" s="38" t="s">
        <v>127</v>
      </c>
    </row>
    <row r="17" spans="1:25" x14ac:dyDescent="0.25">
      <c r="A17" s="38" t="s">
        <v>127</v>
      </c>
      <c r="B17" s="38" t="s">
        <v>127</v>
      </c>
      <c r="C17" s="38" t="s">
        <v>127</v>
      </c>
      <c r="D17" s="38">
        <v>-1</v>
      </c>
      <c r="E17" s="38">
        <v>-1</v>
      </c>
      <c r="F17" s="38">
        <v>-1</v>
      </c>
      <c r="G17" s="38">
        <v>-1</v>
      </c>
      <c r="H17" s="38">
        <v>-1</v>
      </c>
      <c r="I17" s="38">
        <v>-1</v>
      </c>
      <c r="J17" s="38">
        <v>-1</v>
      </c>
      <c r="K17" s="38">
        <v>-1</v>
      </c>
      <c r="L17" s="38">
        <v>-1</v>
      </c>
      <c r="M17" s="38">
        <v>-1</v>
      </c>
      <c r="N17" s="38">
        <v>-1</v>
      </c>
      <c r="O17" s="38">
        <v>-1</v>
      </c>
      <c r="P17" s="38">
        <v>-1</v>
      </c>
      <c r="Q17" s="38">
        <v>-1</v>
      </c>
      <c r="R17" s="38">
        <v>-1</v>
      </c>
      <c r="S17" s="38">
        <v>-1</v>
      </c>
      <c r="T17" s="38">
        <v>-1</v>
      </c>
      <c r="U17" s="38">
        <v>-1</v>
      </c>
      <c r="V17" s="38" t="s">
        <v>127</v>
      </c>
      <c r="W17" s="38" t="s">
        <v>127</v>
      </c>
      <c r="X17" s="38" t="s">
        <v>127</v>
      </c>
      <c r="Y17" s="38" t="s">
        <v>127</v>
      </c>
    </row>
    <row r="19" spans="1:25" x14ac:dyDescent="0.25">
      <c r="A19" t="s">
        <v>52</v>
      </c>
    </row>
    <row r="20" spans="1:25" x14ac:dyDescent="0.25">
      <c r="A20" t="s">
        <v>53</v>
      </c>
      <c r="B20" t="s">
        <v>54</v>
      </c>
      <c r="C20" t="s">
        <v>55</v>
      </c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47" t="s">
        <v>131</v>
      </c>
    </row>
    <row r="23" spans="1:25" x14ac:dyDescent="0.25">
      <c r="A23" s="39">
        <v>0</v>
      </c>
      <c r="B23" s="39">
        <v>0</v>
      </c>
      <c r="C23" s="39">
        <v>0</v>
      </c>
      <c r="D23" t="s">
        <v>75</v>
      </c>
    </row>
    <row r="24" spans="1:25" x14ac:dyDescent="0.25">
      <c r="A24" s="39">
        <v>0</v>
      </c>
      <c r="B24" s="39">
        <v>0</v>
      </c>
      <c r="C24" s="39">
        <v>0</v>
      </c>
      <c r="D24" t="s">
        <v>76</v>
      </c>
    </row>
  </sheetData>
  <sheetProtection selectLockedCell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workbookViewId="0"/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ROUND(Data!G3,2)</f>
        <v>-1</v>
      </c>
      <c r="H3" s="1">
        <f>ROUND(Data!H3,2)</f>
        <v>-1</v>
      </c>
      <c r="I3" s="1">
        <f>ROUND(Data!I3,2)</f>
        <v>-1</v>
      </c>
      <c r="J3" s="1">
        <f>ROUND(Data!J3,2)</f>
        <v>-1</v>
      </c>
      <c r="K3" s="1">
        <f>ROUND(Data!K3,2)</f>
        <v>-1</v>
      </c>
      <c r="L3" s="1">
        <f>ROUND(Data!L3,2)</f>
        <v>-1</v>
      </c>
      <c r="M3" s="1">
        <f>ROUND(Data!M3,2)</f>
        <v>-1</v>
      </c>
      <c r="N3" s="1">
        <f>ROUND(Data!N3,2)</f>
        <v>-1</v>
      </c>
      <c r="O3" s="1">
        <f>ROUND(Data!O3,2)</f>
        <v>-1</v>
      </c>
      <c r="P3" s="1">
        <f>ROUND(Data!P3,2)</f>
        <v>-1</v>
      </c>
      <c r="Q3" s="1">
        <f>ROUND(Data!Q3,2)</f>
        <v>-1</v>
      </c>
      <c r="R3" s="1">
        <f>ROUND(Data!R3,2)</f>
        <v>-1</v>
      </c>
      <c r="S3" s="1">
        <f>ROUND(Data!S3,2)</f>
        <v>-1</v>
      </c>
      <c r="T3" s="1">
        <f>ROUND(Data!T3,2)</f>
        <v>-1</v>
      </c>
      <c r="U3" s="1">
        <f>ROUND(Data!U3,2)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ROUND(Data!G4,2)</f>
        <v>-1</v>
      </c>
      <c r="H4" s="1">
        <f>ROUND(Data!H4,2)</f>
        <v>-1</v>
      </c>
      <c r="I4" s="1">
        <f>ROUND(Data!I4,2)</f>
        <v>-1</v>
      </c>
      <c r="J4" s="1">
        <f>ROUND(Data!J4,2)</f>
        <v>-1</v>
      </c>
      <c r="K4" s="1">
        <f>ROUND(Data!K4,2)</f>
        <v>-1</v>
      </c>
      <c r="L4" s="1">
        <f>ROUND(Data!L4,2)</f>
        <v>-1</v>
      </c>
      <c r="M4" s="1">
        <f>ROUND(Data!M4,2)</f>
        <v>-1</v>
      </c>
      <c r="N4" s="1">
        <f>ROUND(Data!N4,2)</f>
        <v>-1</v>
      </c>
      <c r="O4" s="1">
        <f>ROUND(Data!O4,2)</f>
        <v>-1</v>
      </c>
      <c r="P4" s="1">
        <f>ROUND(Data!P4,2)</f>
        <v>-1</v>
      </c>
      <c r="Q4" s="1">
        <f>ROUND(Data!Q4,2)</f>
        <v>-1</v>
      </c>
      <c r="R4" s="1">
        <f>ROUND(Data!R4,2)</f>
        <v>-1</v>
      </c>
      <c r="S4" s="1">
        <f>ROUND(Data!S4,2)</f>
        <v>-1</v>
      </c>
      <c r="T4" s="1">
        <f>ROUND(Data!T4,2)</f>
        <v>-1</v>
      </c>
      <c r="U4" s="1">
        <f>ROUND(Data!U4,2)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ROUND(Data!G5,2)</f>
        <v>-1</v>
      </c>
      <c r="H5" s="1">
        <f>ROUND(Data!H5,2)</f>
        <v>-1</v>
      </c>
      <c r="I5" s="1">
        <f>ROUND(Data!I5,2)</f>
        <v>-1</v>
      </c>
      <c r="J5" s="1">
        <f>ROUND(Data!J5,2)</f>
        <v>-1</v>
      </c>
      <c r="K5" s="1">
        <f>ROUND(Data!K5,2)</f>
        <v>-1</v>
      </c>
      <c r="L5" s="1">
        <f>ROUND(Data!L5,2)</f>
        <v>-1</v>
      </c>
      <c r="M5" s="1">
        <f>ROUND(Data!M5,2)</f>
        <v>-1</v>
      </c>
      <c r="N5" s="1">
        <f>ROUND(Data!N5,2)</f>
        <v>-1</v>
      </c>
      <c r="O5" s="1">
        <f>ROUND(Data!O5,2)</f>
        <v>-1</v>
      </c>
      <c r="P5" s="1">
        <f>ROUND(Data!P5,2)</f>
        <v>-1</v>
      </c>
      <c r="Q5" s="1">
        <f>ROUND(Data!Q5,2)</f>
        <v>-1</v>
      </c>
      <c r="R5" s="1">
        <f>ROUND(Data!R5,2)</f>
        <v>-1</v>
      </c>
      <c r="S5" s="1">
        <f>ROUND(Data!S5,2)</f>
        <v>-1</v>
      </c>
      <c r="T5" s="1">
        <f>ROUND(Data!T5,2)</f>
        <v>-1</v>
      </c>
      <c r="U5" s="1">
        <f>ROUND(Data!U5,2)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ROUND(Data!G6,2)</f>
        <v>-1</v>
      </c>
      <c r="H6" s="1">
        <f>ROUND(Data!H6,2)</f>
        <v>-1</v>
      </c>
      <c r="I6" s="1">
        <f>ROUND(Data!I6,2)</f>
        <v>-1</v>
      </c>
      <c r="J6" s="1">
        <f>ROUND(Data!J6,2)</f>
        <v>-1</v>
      </c>
      <c r="K6" s="1">
        <f>ROUND(Data!K6,2)</f>
        <v>-1</v>
      </c>
      <c r="L6" s="1">
        <f>ROUND(Data!L6,2)</f>
        <v>-1</v>
      </c>
      <c r="M6" s="1">
        <f>ROUND(Data!M6,2)</f>
        <v>-1</v>
      </c>
      <c r="N6" s="1">
        <f>ROUND(Data!N6,2)</f>
        <v>-1</v>
      </c>
      <c r="O6" s="1">
        <f>ROUND(Data!O6,2)</f>
        <v>-1</v>
      </c>
      <c r="P6" s="1">
        <f>ROUND(Data!P6,2)</f>
        <v>-1</v>
      </c>
      <c r="Q6" s="1">
        <f>ROUND(Data!Q6,2)</f>
        <v>-1</v>
      </c>
      <c r="R6" s="1">
        <f>ROUND(Data!R6,2)</f>
        <v>-1</v>
      </c>
      <c r="S6" s="1">
        <f>ROUND(Data!S6,2)</f>
        <v>-1</v>
      </c>
      <c r="T6" s="1">
        <f>ROUND(Data!T6,2)</f>
        <v>-1</v>
      </c>
      <c r="U6" s="1">
        <f>ROUND(Data!U6,2)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ROUND(Data!G7,2)</f>
        <v>-1</v>
      </c>
      <c r="H7" s="1">
        <f>ROUND(Data!H7,2)</f>
        <v>-1</v>
      </c>
      <c r="I7" s="1">
        <f>ROUND(Data!I7,2)</f>
        <v>-1</v>
      </c>
      <c r="J7" s="1">
        <f>ROUND(Data!J7,2)</f>
        <v>-1</v>
      </c>
      <c r="K7" s="1">
        <f>ROUND(Data!K7,2)</f>
        <v>-1</v>
      </c>
      <c r="L7" s="1">
        <f>ROUND(Data!L7,2)</f>
        <v>-1</v>
      </c>
      <c r="M7" s="1">
        <f>ROUND(Data!M7,2)</f>
        <v>-1</v>
      </c>
      <c r="N7" s="1">
        <f>ROUND(Data!N7,2)</f>
        <v>-1</v>
      </c>
      <c r="O7" s="1">
        <f>ROUND(Data!O7,2)</f>
        <v>-1</v>
      </c>
      <c r="P7" s="1">
        <f>ROUND(Data!P7,2)</f>
        <v>-1</v>
      </c>
      <c r="Q7" s="1">
        <f>ROUND(Data!Q7,2)</f>
        <v>-1</v>
      </c>
      <c r="R7" s="1">
        <f>ROUND(Data!R7,2)</f>
        <v>-1</v>
      </c>
      <c r="S7" s="1">
        <f>ROUND(Data!S7,2)</f>
        <v>-1</v>
      </c>
      <c r="T7" s="1">
        <f>ROUND(Data!T7,2)</f>
        <v>-1</v>
      </c>
      <c r="U7" s="1">
        <f>ROUND(Data!U7,2)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ROUND(Data!G8,2)</f>
        <v>-1</v>
      </c>
      <c r="H8" s="1">
        <f>ROUND(Data!H8,2)</f>
        <v>-1</v>
      </c>
      <c r="I8" s="1">
        <f>ROUND(Data!I8,2)</f>
        <v>-1</v>
      </c>
      <c r="J8" s="1">
        <f>ROUND(Data!J8,2)</f>
        <v>-1</v>
      </c>
      <c r="K8" s="1">
        <f>ROUND(Data!K8,2)</f>
        <v>-1</v>
      </c>
      <c r="L8" s="1">
        <f>ROUND(Data!L8,2)</f>
        <v>-1</v>
      </c>
      <c r="M8" s="1">
        <f>ROUND(Data!M8,2)</f>
        <v>-1</v>
      </c>
      <c r="N8" s="1">
        <f>ROUND(Data!N8,2)</f>
        <v>-1</v>
      </c>
      <c r="O8" s="1">
        <f>ROUND(Data!O8,2)</f>
        <v>-1</v>
      </c>
      <c r="P8" s="1">
        <f>ROUND(Data!P8,2)</f>
        <v>-1</v>
      </c>
      <c r="Q8" s="1">
        <f>ROUND(Data!Q8,2)</f>
        <v>-1</v>
      </c>
      <c r="R8" s="1">
        <f>ROUND(Data!R8,2)</f>
        <v>-1</v>
      </c>
      <c r="S8" s="1">
        <f>ROUND(Data!S8,2)</f>
        <v>-1</v>
      </c>
      <c r="T8" s="1">
        <f>ROUND(Data!T8,2)</f>
        <v>-1</v>
      </c>
      <c r="U8" s="1">
        <f>ROUND(Data!U8,2)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ROUND(Data!G9,2)</f>
        <v>-1</v>
      </c>
      <c r="H9" s="1">
        <f>ROUND(Data!H9,2)</f>
        <v>-1</v>
      </c>
      <c r="I9" s="1">
        <f>ROUND(Data!I9,2)</f>
        <v>-1</v>
      </c>
      <c r="J9" s="1">
        <f>ROUND(Data!J9,2)</f>
        <v>-1</v>
      </c>
      <c r="K9" s="1">
        <f>ROUND(Data!K9,2)</f>
        <v>-1</v>
      </c>
      <c r="L9" s="1">
        <f>ROUND(Data!L9,2)</f>
        <v>-1</v>
      </c>
      <c r="M9" s="1">
        <f>ROUND(Data!M9,2)</f>
        <v>-1</v>
      </c>
      <c r="N9" s="1">
        <f>ROUND(Data!N9,2)</f>
        <v>-1</v>
      </c>
      <c r="O9" s="1">
        <f>ROUND(Data!O9,2)</f>
        <v>-1</v>
      </c>
      <c r="P9" s="1">
        <f>ROUND(Data!P9,2)</f>
        <v>-1</v>
      </c>
      <c r="Q9" s="1">
        <f>ROUND(Data!Q9,2)</f>
        <v>-1</v>
      </c>
      <c r="R9" s="1">
        <f>ROUND(Data!R9,2)</f>
        <v>-1</v>
      </c>
      <c r="S9" s="1">
        <f>ROUND(Data!S9,2)</f>
        <v>-1</v>
      </c>
      <c r="T9" s="1">
        <f>ROUND(Data!T9,2)</f>
        <v>-1</v>
      </c>
      <c r="U9" s="1">
        <f>ROUND(Data!U9,2)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ROUND(Data!G10,2)</f>
        <v>-1</v>
      </c>
      <c r="H10" s="1">
        <f>ROUND(Data!H10,2)</f>
        <v>-1</v>
      </c>
      <c r="I10" s="1">
        <f>ROUND(Data!I10,2)</f>
        <v>-1</v>
      </c>
      <c r="J10" s="1">
        <f>ROUND(Data!J10,2)</f>
        <v>-1</v>
      </c>
      <c r="K10" s="1">
        <f>ROUND(Data!K10,2)</f>
        <v>-1</v>
      </c>
      <c r="L10" s="1">
        <f>ROUND(Data!L10,2)</f>
        <v>-1</v>
      </c>
      <c r="M10" s="1">
        <f>ROUND(Data!M10,2)</f>
        <v>-1</v>
      </c>
      <c r="N10" s="1">
        <f>ROUND(Data!N10,2)</f>
        <v>-1</v>
      </c>
      <c r="O10" s="1">
        <f>ROUND(Data!O10,2)</f>
        <v>-1</v>
      </c>
      <c r="P10" s="1">
        <f>ROUND(Data!P10,2)</f>
        <v>-1</v>
      </c>
      <c r="Q10" s="1">
        <f>ROUND(Data!Q10,2)</f>
        <v>-1</v>
      </c>
      <c r="R10" s="1">
        <f>ROUND(Data!R10,2)</f>
        <v>-1</v>
      </c>
      <c r="S10" s="1">
        <f>ROUND(Data!S10,2)</f>
        <v>-1</v>
      </c>
      <c r="T10" s="1">
        <f>ROUND(Data!T10,2)</f>
        <v>-1</v>
      </c>
      <c r="U10" s="1">
        <f>ROUND(Data!U10,2)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ROUND(Data!G11,2)</f>
        <v>-1</v>
      </c>
      <c r="H11" s="1">
        <f>ROUND(Data!H11,2)</f>
        <v>-1</v>
      </c>
      <c r="I11" s="1">
        <f>ROUND(Data!I11,2)</f>
        <v>-1</v>
      </c>
      <c r="J11" s="1">
        <f>ROUND(Data!J11,2)</f>
        <v>-1</v>
      </c>
      <c r="K11" s="1">
        <f>ROUND(Data!K11,2)</f>
        <v>-1</v>
      </c>
      <c r="L11" s="1">
        <f>ROUND(Data!L11,2)</f>
        <v>-1</v>
      </c>
      <c r="M11" s="1">
        <f>ROUND(Data!M11,2)</f>
        <v>-1</v>
      </c>
      <c r="N11" s="1">
        <f>ROUND(Data!N11,2)</f>
        <v>-1</v>
      </c>
      <c r="O11" s="1">
        <f>ROUND(Data!O11,2)</f>
        <v>-1</v>
      </c>
      <c r="P11" s="1">
        <f>ROUND(Data!P11,2)</f>
        <v>-1</v>
      </c>
      <c r="Q11" s="1">
        <f>ROUND(Data!Q11,2)</f>
        <v>-1</v>
      </c>
      <c r="R11" s="1">
        <f>ROUND(Data!R11,2)</f>
        <v>-1</v>
      </c>
      <c r="S11" s="1">
        <f>ROUND(Data!S11,2)</f>
        <v>-1</v>
      </c>
      <c r="T11" s="1">
        <f>ROUND(Data!T11,2)</f>
        <v>-1</v>
      </c>
      <c r="U11" s="1">
        <f>ROUND(Data!U11,2)</f>
        <v>-1</v>
      </c>
      <c r="V11" t="str">
        <f>Data!V11</f>
        <v>NA</v>
      </c>
    </row>
    <row r="12" spans="1:22" x14ac:dyDescent="0.25">
      <c r="A12" t="str">
        <f>Data!A12</f>
        <v>NA</v>
      </c>
      <c r="B12" t="str">
        <f>Data!B12</f>
        <v>NA</v>
      </c>
      <c r="C12" t="str">
        <f>Data!C12</f>
        <v>NA</v>
      </c>
      <c r="D12" s="2">
        <f>IF(ROUND(Data!E12,0)=360,0,ROUND(Data!E12,0))</f>
        <v>-1</v>
      </c>
      <c r="E12" s="2">
        <f>IF(ROUND(Data!F12,0)=360,0,ROUND(Data!F12,0))</f>
        <v>-1</v>
      </c>
      <c r="F12" s="2">
        <f>IF(ROUND(Data!D12,0)=0,0,ROUND(360-Data!D12,0))</f>
        <v>361</v>
      </c>
      <c r="G12" s="1">
        <f>ROUND(Data!G12,2)</f>
        <v>-1</v>
      </c>
      <c r="H12" s="1">
        <f>ROUND(Data!H12,2)</f>
        <v>-1</v>
      </c>
      <c r="I12" s="1">
        <f>ROUND(Data!I12,2)</f>
        <v>-1</v>
      </c>
      <c r="J12" s="1">
        <f>ROUND(Data!J12,2)</f>
        <v>-1</v>
      </c>
      <c r="K12" s="1">
        <f>ROUND(Data!K12,2)</f>
        <v>-1</v>
      </c>
      <c r="L12" s="1">
        <f>ROUND(Data!L12,2)</f>
        <v>-1</v>
      </c>
      <c r="M12" s="1">
        <f>ROUND(Data!M12,2)</f>
        <v>-1</v>
      </c>
      <c r="N12" s="1">
        <f>ROUND(Data!N12,2)</f>
        <v>-1</v>
      </c>
      <c r="O12" s="1">
        <f>ROUND(Data!O12,2)</f>
        <v>-1</v>
      </c>
      <c r="P12" s="1">
        <f>ROUND(Data!P12,2)</f>
        <v>-1</v>
      </c>
      <c r="Q12" s="1">
        <f>ROUND(Data!Q12,2)</f>
        <v>-1</v>
      </c>
      <c r="R12" s="1">
        <f>ROUND(Data!R12,2)</f>
        <v>-1</v>
      </c>
      <c r="S12" s="1">
        <f>ROUND(Data!S12,2)</f>
        <v>-1</v>
      </c>
      <c r="T12" s="1">
        <f>ROUND(Data!T12,2)</f>
        <v>-1</v>
      </c>
      <c r="U12" s="1">
        <f>ROUND(Data!U12,2)</f>
        <v>-1</v>
      </c>
      <c r="V12" t="str">
        <f>Data!V12</f>
        <v>NA</v>
      </c>
    </row>
    <row r="13" spans="1:22" x14ac:dyDescent="0.25">
      <c r="A13" t="str">
        <f>Data!A13</f>
        <v>NA</v>
      </c>
      <c r="B13" t="str">
        <f>Data!B13</f>
        <v>NA</v>
      </c>
      <c r="C13" t="str">
        <f>Data!C13</f>
        <v>NA</v>
      </c>
      <c r="D13" s="2">
        <f>IF(ROUND(Data!E13,0)=360,0,ROUND(Data!E13,0))</f>
        <v>-1</v>
      </c>
      <c r="E13" s="2">
        <f>IF(ROUND(Data!F13,0)=360,0,ROUND(Data!F13,0))</f>
        <v>-1</v>
      </c>
      <c r="F13" s="2">
        <f>IF(ROUND(Data!D13,0)=0,0,ROUND(360-Data!D13,0))</f>
        <v>361</v>
      </c>
      <c r="G13" s="1">
        <f>ROUND(Data!G13,2)</f>
        <v>-1</v>
      </c>
      <c r="H13" s="1">
        <f>ROUND(Data!H13,2)</f>
        <v>-1</v>
      </c>
      <c r="I13" s="1">
        <f>ROUND(Data!I13,2)</f>
        <v>-1</v>
      </c>
      <c r="J13" s="1">
        <f>ROUND(Data!J13,2)</f>
        <v>-1</v>
      </c>
      <c r="K13" s="1">
        <f>ROUND(Data!K13,2)</f>
        <v>-1</v>
      </c>
      <c r="L13" s="1">
        <f>ROUND(Data!L13,2)</f>
        <v>-1</v>
      </c>
      <c r="M13" s="1">
        <f>ROUND(Data!M13,2)</f>
        <v>-1</v>
      </c>
      <c r="N13" s="1">
        <f>ROUND(Data!N13,2)</f>
        <v>-1</v>
      </c>
      <c r="O13" s="1">
        <f>ROUND(Data!O13,2)</f>
        <v>-1</v>
      </c>
      <c r="P13" s="1">
        <f>ROUND(Data!P13,2)</f>
        <v>-1</v>
      </c>
      <c r="Q13" s="1">
        <f>ROUND(Data!Q13,2)</f>
        <v>-1</v>
      </c>
      <c r="R13" s="1">
        <f>ROUND(Data!R13,2)</f>
        <v>-1</v>
      </c>
      <c r="S13" s="1">
        <f>ROUND(Data!S13,2)</f>
        <v>-1</v>
      </c>
      <c r="T13" s="1">
        <f>ROUND(Data!T13,2)</f>
        <v>-1</v>
      </c>
      <c r="U13" s="1">
        <f>ROUND(Data!U13,2)</f>
        <v>-1</v>
      </c>
      <c r="V13" t="str">
        <f>Data!V13</f>
        <v>NA</v>
      </c>
    </row>
    <row r="14" spans="1:22" x14ac:dyDescent="0.25">
      <c r="A14" t="str">
        <f>Data!A14</f>
        <v>NA</v>
      </c>
      <c r="B14" t="str">
        <f>Data!B14</f>
        <v>NA</v>
      </c>
      <c r="C14" t="str">
        <f>Data!C14</f>
        <v>NA</v>
      </c>
      <c r="D14" s="2">
        <f>IF(ROUND(Data!E14,0)=360,0,ROUND(Data!E14,0))</f>
        <v>-1</v>
      </c>
      <c r="E14" s="2">
        <f>IF(ROUND(Data!F14,0)=360,0,ROUND(Data!F14,0))</f>
        <v>-1</v>
      </c>
      <c r="F14" s="2">
        <f>IF(ROUND(Data!D14,0)=0,0,ROUND(360-Data!D14,0))</f>
        <v>361</v>
      </c>
      <c r="G14" s="1">
        <f>ROUND(Data!G14,2)</f>
        <v>-1</v>
      </c>
      <c r="H14" s="1">
        <f>ROUND(Data!H14,2)</f>
        <v>-1</v>
      </c>
      <c r="I14" s="1">
        <f>ROUND(Data!I14,2)</f>
        <v>-1</v>
      </c>
      <c r="J14" s="1">
        <f>ROUND(Data!J14,2)</f>
        <v>-1</v>
      </c>
      <c r="K14" s="1">
        <f>ROUND(Data!K14,2)</f>
        <v>-1</v>
      </c>
      <c r="L14" s="1">
        <f>ROUND(Data!L14,2)</f>
        <v>-1</v>
      </c>
      <c r="M14" s="1">
        <f>ROUND(Data!M14,2)</f>
        <v>-1</v>
      </c>
      <c r="N14" s="1">
        <f>ROUND(Data!N14,2)</f>
        <v>-1</v>
      </c>
      <c r="O14" s="1">
        <f>ROUND(Data!O14,2)</f>
        <v>-1</v>
      </c>
      <c r="P14" s="1">
        <f>ROUND(Data!P14,2)</f>
        <v>-1</v>
      </c>
      <c r="Q14" s="1">
        <f>ROUND(Data!Q14,2)</f>
        <v>-1</v>
      </c>
      <c r="R14" s="1">
        <f>ROUND(Data!R14,2)</f>
        <v>-1</v>
      </c>
      <c r="S14" s="1">
        <f>ROUND(Data!S14,2)</f>
        <v>-1</v>
      </c>
      <c r="T14" s="1">
        <f>ROUND(Data!T14,2)</f>
        <v>-1</v>
      </c>
      <c r="U14" s="1">
        <f>ROUND(Data!U14,2)</f>
        <v>-1</v>
      </c>
      <c r="V14" t="str">
        <f>Data!V14</f>
        <v>NA</v>
      </c>
    </row>
    <row r="15" spans="1:22" x14ac:dyDescent="0.25">
      <c r="A15" t="str">
        <f>Data!A15</f>
        <v>NA</v>
      </c>
      <c r="B15" t="str">
        <f>Data!B15</f>
        <v>NA</v>
      </c>
      <c r="C15" t="str">
        <f>Data!C15</f>
        <v>NA</v>
      </c>
      <c r="D15" s="2">
        <f>IF(ROUND(Data!E15,0)=360,0,ROUND(Data!E15,0))</f>
        <v>-1</v>
      </c>
      <c r="E15" s="2">
        <f>IF(ROUND(Data!F15,0)=360,0,ROUND(Data!F15,0))</f>
        <v>-1</v>
      </c>
      <c r="F15" s="2">
        <f>IF(ROUND(Data!D15,0)=0,0,ROUND(360-Data!D15,0))</f>
        <v>361</v>
      </c>
      <c r="G15" s="1">
        <f>ROUND(Data!G15,2)</f>
        <v>-1</v>
      </c>
      <c r="H15" s="1">
        <f>ROUND(Data!H15,2)</f>
        <v>-1</v>
      </c>
      <c r="I15" s="1">
        <f>ROUND(Data!I15,2)</f>
        <v>-1</v>
      </c>
      <c r="J15" s="1">
        <f>ROUND(Data!J15,2)</f>
        <v>-1</v>
      </c>
      <c r="K15" s="1">
        <f>ROUND(Data!K15,2)</f>
        <v>-1</v>
      </c>
      <c r="L15" s="1">
        <f>ROUND(Data!L15,2)</f>
        <v>-1</v>
      </c>
      <c r="M15" s="1">
        <f>ROUND(Data!M15,2)</f>
        <v>-1</v>
      </c>
      <c r="N15" s="1">
        <f>ROUND(Data!N15,2)</f>
        <v>-1</v>
      </c>
      <c r="O15" s="1">
        <f>ROUND(Data!O15,2)</f>
        <v>-1</v>
      </c>
      <c r="P15" s="1">
        <f>ROUND(Data!P15,2)</f>
        <v>-1</v>
      </c>
      <c r="Q15" s="1">
        <f>ROUND(Data!Q15,2)</f>
        <v>-1</v>
      </c>
      <c r="R15" s="1">
        <f>ROUND(Data!R15,2)</f>
        <v>-1</v>
      </c>
      <c r="S15" s="1">
        <f>ROUND(Data!S15,2)</f>
        <v>-1</v>
      </c>
      <c r="T15" s="1">
        <f>ROUND(Data!T15,2)</f>
        <v>-1</v>
      </c>
      <c r="U15" s="1">
        <f>ROUND(Data!U15,2)</f>
        <v>-1</v>
      </c>
      <c r="V15" t="str">
        <f>Data!V15</f>
        <v>NA</v>
      </c>
    </row>
    <row r="16" spans="1:22" x14ac:dyDescent="0.25">
      <c r="A16" t="str">
        <f>Data!A16</f>
        <v>NA</v>
      </c>
      <c r="B16" t="str">
        <f>Data!B16</f>
        <v>NA</v>
      </c>
      <c r="C16" t="str">
        <f>Data!C16</f>
        <v>NA</v>
      </c>
      <c r="D16" s="2">
        <f>IF(ROUND(Data!E16,0)=360,0,ROUND(Data!E16,0))</f>
        <v>-1</v>
      </c>
      <c r="E16" s="2">
        <f>IF(ROUND(Data!F16,0)=360,0,ROUND(Data!F16,0))</f>
        <v>-1</v>
      </c>
      <c r="F16" s="2">
        <f>IF(ROUND(Data!D16,0)=0,0,ROUND(360-Data!D16,0))</f>
        <v>361</v>
      </c>
      <c r="G16" s="1">
        <f>ROUND(Data!G16,2)</f>
        <v>-1</v>
      </c>
      <c r="H16" s="1">
        <f>ROUND(Data!H16,2)</f>
        <v>-1</v>
      </c>
      <c r="I16" s="1">
        <f>ROUND(Data!I16,2)</f>
        <v>-1</v>
      </c>
      <c r="J16" s="1">
        <f>ROUND(Data!J16,2)</f>
        <v>-1</v>
      </c>
      <c r="K16" s="1">
        <f>ROUND(Data!K16,2)</f>
        <v>-1</v>
      </c>
      <c r="L16" s="1">
        <f>ROUND(Data!L16,2)</f>
        <v>-1</v>
      </c>
      <c r="M16" s="1">
        <f>ROUND(Data!M16,2)</f>
        <v>-1</v>
      </c>
      <c r="N16" s="1">
        <f>ROUND(Data!N16,2)</f>
        <v>-1</v>
      </c>
      <c r="O16" s="1">
        <f>ROUND(Data!O16,2)</f>
        <v>-1</v>
      </c>
      <c r="P16" s="1">
        <f>ROUND(Data!P16,2)</f>
        <v>-1</v>
      </c>
      <c r="Q16" s="1">
        <f>ROUND(Data!Q16,2)</f>
        <v>-1</v>
      </c>
      <c r="R16" s="1">
        <f>ROUND(Data!R16,2)</f>
        <v>-1</v>
      </c>
      <c r="S16" s="1">
        <f>ROUND(Data!S16,2)</f>
        <v>-1</v>
      </c>
      <c r="T16" s="1">
        <f>ROUND(Data!T16,2)</f>
        <v>-1</v>
      </c>
      <c r="U16" s="1">
        <f>ROUND(Data!U16,2)</f>
        <v>-1</v>
      </c>
      <c r="V16" t="str">
        <f>Data!V16</f>
        <v>NA</v>
      </c>
    </row>
    <row r="17" spans="1:22" x14ac:dyDescent="0.25">
      <c r="A17" t="str">
        <f>Data!A17</f>
        <v>NA</v>
      </c>
      <c r="B17" t="str">
        <f>Data!B17</f>
        <v>NA</v>
      </c>
      <c r="C17" t="str">
        <f>Data!C17</f>
        <v>NA</v>
      </c>
      <c r="D17" s="2">
        <f>IF(ROUND(Data!E17,0)=360,0,ROUND(Data!E17,0))</f>
        <v>-1</v>
      </c>
      <c r="E17" s="2">
        <f>IF(ROUND(Data!F17,0)=360,0,ROUND(Data!F17,0))</f>
        <v>-1</v>
      </c>
      <c r="F17" s="2">
        <f>IF(ROUND(Data!D17,0)=0,0,ROUND(360-Data!D17,0))</f>
        <v>361</v>
      </c>
      <c r="G17" s="1">
        <f>ROUND(Data!G17,2)</f>
        <v>-1</v>
      </c>
      <c r="H17" s="1">
        <f>ROUND(Data!H17,2)</f>
        <v>-1</v>
      </c>
      <c r="I17" s="1">
        <f>ROUND(Data!I17,2)</f>
        <v>-1</v>
      </c>
      <c r="J17" s="1">
        <f>ROUND(Data!J17,2)</f>
        <v>-1</v>
      </c>
      <c r="K17" s="1">
        <f>ROUND(Data!K17,2)</f>
        <v>-1</v>
      </c>
      <c r="L17" s="1">
        <f>ROUND(Data!L17,2)</f>
        <v>-1</v>
      </c>
      <c r="M17" s="1">
        <f>ROUND(Data!M17,2)</f>
        <v>-1</v>
      </c>
      <c r="N17" s="1">
        <f>ROUND(Data!N17,2)</f>
        <v>-1</v>
      </c>
      <c r="O17" s="1">
        <f>ROUND(Data!O17,2)</f>
        <v>-1</v>
      </c>
      <c r="P17" s="1">
        <f>ROUND(Data!P17,2)</f>
        <v>-1</v>
      </c>
      <c r="Q17" s="1">
        <f>ROUND(Data!Q17,2)</f>
        <v>-1</v>
      </c>
      <c r="R17" s="1">
        <f>ROUND(Data!R17,2)</f>
        <v>-1</v>
      </c>
      <c r="S17" s="1">
        <f>ROUND(Data!S17,2)</f>
        <v>-1</v>
      </c>
      <c r="T17" s="1">
        <f>ROUND(Data!T17,2)</f>
        <v>-1</v>
      </c>
      <c r="U17" s="1">
        <f>ROUND(Data!U17,2)</f>
        <v>-1</v>
      </c>
      <c r="V17" t="str">
        <f>Data!V17</f>
        <v>NA</v>
      </c>
    </row>
    <row r="19" spans="1:22" x14ac:dyDescent="0.25">
      <c r="A19" t="s">
        <v>27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2" x14ac:dyDescent="0.25">
      <c r="D20" cm="1">
        <f t="array" ref="D20:H34">_xlfn.SORTBY(D3:H17,F3:F17,1,D3:D17,1,E3:E17,1)</f>
        <v>-1</v>
      </c>
      <c r="E20">
        <v>-1</v>
      </c>
      <c r="F20">
        <v>361</v>
      </c>
      <c r="G20">
        <v>-1</v>
      </c>
      <c r="H20">
        <v>-1</v>
      </c>
    </row>
    <row r="21" spans="1:22" x14ac:dyDescent="0.25">
      <c r="D21">
        <v>-1</v>
      </c>
      <c r="E21">
        <v>-1</v>
      </c>
      <c r="F21">
        <v>361</v>
      </c>
      <c r="G21">
        <v>-1</v>
      </c>
      <c r="H21">
        <v>-1</v>
      </c>
    </row>
    <row r="22" spans="1:22" x14ac:dyDescent="0.25">
      <c r="D22">
        <v>-1</v>
      </c>
      <c r="E22">
        <v>-1</v>
      </c>
      <c r="F22">
        <v>361</v>
      </c>
      <c r="G22">
        <v>-1</v>
      </c>
      <c r="H22">
        <v>-1</v>
      </c>
    </row>
    <row r="23" spans="1:22" x14ac:dyDescent="0.25">
      <c r="D23">
        <v>-1</v>
      </c>
      <c r="E23">
        <v>-1</v>
      </c>
      <c r="F23">
        <v>361</v>
      </c>
      <c r="G23">
        <v>-1</v>
      </c>
      <c r="H23">
        <v>-1</v>
      </c>
    </row>
    <row r="24" spans="1:22" x14ac:dyDescent="0.25">
      <c r="D24">
        <v>-1</v>
      </c>
      <c r="E24">
        <v>-1</v>
      </c>
      <c r="F24">
        <v>361</v>
      </c>
      <c r="G24">
        <v>-1</v>
      </c>
      <c r="H24">
        <v>-1</v>
      </c>
    </row>
    <row r="25" spans="1:22" x14ac:dyDescent="0.25">
      <c r="D25">
        <v>-1</v>
      </c>
      <c r="E25">
        <v>-1</v>
      </c>
      <c r="F25">
        <v>361</v>
      </c>
      <c r="G25">
        <v>-1</v>
      </c>
      <c r="H25">
        <v>-1</v>
      </c>
    </row>
    <row r="26" spans="1:22" x14ac:dyDescent="0.25">
      <c r="D26">
        <v>-1</v>
      </c>
      <c r="E26">
        <v>-1</v>
      </c>
      <c r="F26">
        <v>361</v>
      </c>
      <c r="G26">
        <v>-1</v>
      </c>
      <c r="H26">
        <v>-1</v>
      </c>
    </row>
    <row r="27" spans="1:22" x14ac:dyDescent="0.25">
      <c r="D27">
        <v>-1</v>
      </c>
      <c r="E27">
        <v>-1</v>
      </c>
      <c r="F27">
        <v>361</v>
      </c>
      <c r="G27">
        <v>-1</v>
      </c>
      <c r="H27">
        <v>-1</v>
      </c>
    </row>
    <row r="28" spans="1:22" x14ac:dyDescent="0.25">
      <c r="D28">
        <v>-1</v>
      </c>
      <c r="E28">
        <v>-1</v>
      </c>
      <c r="F28">
        <v>361</v>
      </c>
      <c r="G28">
        <v>-1</v>
      </c>
      <c r="H28">
        <v>-1</v>
      </c>
    </row>
    <row r="29" spans="1:22" x14ac:dyDescent="0.25">
      <c r="D29">
        <v>-1</v>
      </c>
      <c r="E29">
        <v>-1</v>
      </c>
      <c r="F29">
        <v>361</v>
      </c>
      <c r="G29">
        <v>-1</v>
      </c>
      <c r="H29">
        <v>-1</v>
      </c>
    </row>
    <row r="30" spans="1:22" x14ac:dyDescent="0.25">
      <c r="D30">
        <v>-1</v>
      </c>
      <c r="E30">
        <v>-1</v>
      </c>
      <c r="F30">
        <v>361</v>
      </c>
      <c r="G30">
        <v>-1</v>
      </c>
      <c r="H30">
        <v>-1</v>
      </c>
    </row>
    <row r="31" spans="1:22" x14ac:dyDescent="0.25">
      <c r="D31">
        <v>-1</v>
      </c>
      <c r="E31">
        <v>-1</v>
      </c>
      <c r="F31">
        <v>361</v>
      </c>
      <c r="G31">
        <v>-1</v>
      </c>
      <c r="H31">
        <v>-1</v>
      </c>
    </row>
    <row r="32" spans="1:22" x14ac:dyDescent="0.25">
      <c r="D32">
        <v>-1</v>
      </c>
      <c r="E32">
        <v>-1</v>
      </c>
      <c r="F32">
        <v>361</v>
      </c>
      <c r="G32">
        <v>-1</v>
      </c>
      <c r="H32">
        <v>-1</v>
      </c>
    </row>
    <row r="33" spans="4:8" x14ac:dyDescent="0.25">
      <c r="D33">
        <v>-1</v>
      </c>
      <c r="E33">
        <v>-1</v>
      </c>
      <c r="F33">
        <v>361</v>
      </c>
      <c r="G33">
        <v>-1</v>
      </c>
      <c r="H33">
        <v>-1</v>
      </c>
    </row>
    <row r="34" spans="4:8" x14ac:dyDescent="0.25">
      <c r="D34">
        <v>-1</v>
      </c>
      <c r="E34">
        <v>-1</v>
      </c>
      <c r="F34">
        <v>361</v>
      </c>
      <c r="G34">
        <v>-1</v>
      </c>
      <c r="H34">
        <v>-1</v>
      </c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zoomScale="85" zoomScaleNormal="85" workbookViewId="0">
      <selection activeCell="O11" sqref="O11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66</v>
      </c>
      <c r="T1" t="str">
        <f>IF(OR(I3="",I8="",J5="",J10="",K3="",K5="",K8="",K10=""),"",T2)</f>
        <v/>
      </c>
    </row>
    <row r="2" spans="1:24" x14ac:dyDescent="0.25">
      <c r="A2" t="s">
        <v>24</v>
      </c>
      <c r="B2" t="s">
        <v>25</v>
      </c>
      <c r="C2" t="s">
        <v>26</v>
      </c>
      <c r="D2" t="s">
        <v>6</v>
      </c>
      <c r="E2" t="s">
        <v>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 t="s">
        <v>40</v>
      </c>
      <c r="S2" s="1" t="e">
        <f>S3-S4</f>
        <v>#VALUE!</v>
      </c>
      <c r="T2" s="1" t="e">
        <f>T3-T4</f>
        <v>#VALUE!</v>
      </c>
      <c r="V2" t="s">
        <v>62</v>
      </c>
      <c r="W2" t="s">
        <v>63</v>
      </c>
      <c r="X2" t="s">
        <v>64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60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65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34"/>
      <c r="P5" s="1"/>
      <c r="Q5" s="1" t="e">
        <f>G5-J$5</f>
        <v>#VALUE!</v>
      </c>
      <c r="R5" s="1" t="e">
        <f>-(H5-K$5)</f>
        <v>#VALUE!</v>
      </c>
      <c r="U5" t="s">
        <v>61</v>
      </c>
      <c r="V5" s="1">
        <f>Analysis!N14</f>
        <v>-1</v>
      </c>
      <c r="W5" s="1"/>
      <c r="X5" s="1">
        <f>Analysis!O14</f>
        <v>-1</v>
      </c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36" t="s">
        <v>113</v>
      </c>
      <c r="N6" s="34" t="s">
        <v>114</v>
      </c>
      <c r="O6" s="34" t="s">
        <v>115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34">
        <f>MAX(I3:I11)-MIN(I3:I11)</f>
        <v>0</v>
      </c>
      <c r="N7" s="34">
        <f t="shared" ref="N7:O7" si="1">MAX(J3:J11)-MIN(J3:J11)</f>
        <v>0</v>
      </c>
      <c r="O7" s="34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35">
        <f>SQRT((M7)^2+(N7)^2+(O7)^2)/2</f>
        <v>0</v>
      </c>
      <c r="P8" t="s">
        <v>112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ht="15.75" thickBot="1" x14ac:dyDescent="0.3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2" spans="1:24" ht="15.75" thickBot="1" x14ac:dyDescent="0.3">
      <c r="K12" s="1" t="e">
        <f>MAX(MAX(J14:J19)-MIN(J14:J19),MAX(K14:K19)-MIN(K14:K19))</f>
        <v>#VALUE!</v>
      </c>
      <c r="O12" s="45" t="s">
        <v>83</v>
      </c>
      <c r="P12" s="45"/>
      <c r="Q12" s="13" t="s">
        <v>79</v>
      </c>
      <c r="R12" s="4">
        <f>MAX(R14:R20)</f>
        <v>0</v>
      </c>
      <c r="S12" t="s">
        <v>116</v>
      </c>
    </row>
    <row r="13" spans="1:24" ht="15.75" thickBot="1" x14ac:dyDescent="0.3">
      <c r="A13" t="s">
        <v>23</v>
      </c>
      <c r="F13" t="s">
        <v>28</v>
      </c>
      <c r="G13" t="s">
        <v>30</v>
      </c>
      <c r="H13" t="s">
        <v>41</v>
      </c>
      <c r="I13" t="s">
        <v>42</v>
      </c>
      <c r="J13" t="s">
        <v>45</v>
      </c>
      <c r="K13" t="s">
        <v>46</v>
      </c>
      <c r="L13" t="s">
        <v>47</v>
      </c>
      <c r="M13" t="s">
        <v>48</v>
      </c>
      <c r="N13" t="s">
        <v>43</v>
      </c>
      <c r="O13" t="s">
        <v>44</v>
      </c>
      <c r="P13" t="s">
        <v>49</v>
      </c>
      <c r="Q13" t="s">
        <v>50</v>
      </c>
      <c r="R13" t="s">
        <v>51</v>
      </c>
    </row>
    <row r="14" spans="1:24" ht="15.75" thickBot="1" x14ac:dyDescent="0.3">
      <c r="A14">
        <f>Preprocess!D26</f>
        <v>-1</v>
      </c>
      <c r="B14">
        <f>Preprocess!E26</f>
        <v>-1</v>
      </c>
      <c r="C14">
        <f>Preprocess!F26</f>
        <v>361</v>
      </c>
      <c r="D14" s="1" t="str">
        <f>IF(AND($A14=180,$B14=270,$C14=0),Preprocess!G26,"")</f>
        <v/>
      </c>
      <c r="E14" s="1" t="str">
        <f>IF(AND($A14=180,$B14=270,$C14=0),Preprocess!H26,"")</f>
        <v/>
      </c>
      <c r="F14" s="1" t="str">
        <f>IF(D14="","",-D14)</f>
        <v/>
      </c>
      <c r="G14" s="1" t="str">
        <f>IF(E14="","",-E14)</f>
        <v/>
      </c>
      <c r="H14" s="1" t="e">
        <f>F$14-F14</f>
        <v>#VALUE!</v>
      </c>
      <c r="I14" s="1" t="e">
        <f>G$14-G14</f>
        <v>#VALUE!</v>
      </c>
      <c r="J14" s="1" t="e">
        <f>H14+L14</f>
        <v>#VALUE!</v>
      </c>
      <c r="K14" s="1" t="e">
        <f t="shared" ref="J14:K20" si="3">I14+M14</f>
        <v>#VALUE!</v>
      </c>
      <c r="L14" s="3">
        <v>-1</v>
      </c>
      <c r="M14" s="3">
        <v>-1</v>
      </c>
      <c r="N14" s="40">
        <v>-1</v>
      </c>
      <c r="O14" s="40">
        <v>-1</v>
      </c>
      <c r="P14" s="5" t="e">
        <f>J14-N$14</f>
        <v>#VALUE!</v>
      </c>
      <c r="Q14" s="6" t="e">
        <f t="shared" ref="P14:Q20" si="4">K14-O$14</f>
        <v>#VALUE!</v>
      </c>
      <c r="R14" s="11" t="str">
        <f>IF(OR(D14="",E14=""),"",P14^2+Q14^2)</f>
        <v/>
      </c>
    </row>
    <row r="15" spans="1:24" x14ac:dyDescent="0.25">
      <c r="A15">
        <f>Preprocess!D29</f>
        <v>-1</v>
      </c>
      <c r="B15">
        <f>Preprocess!E29</f>
        <v>-1</v>
      </c>
      <c r="C15">
        <f>Preprocess!F29</f>
        <v>361</v>
      </c>
      <c r="D15" s="1" t="str">
        <f>IF(AND($A15=180,$B15=270),Preprocess!G29,"")</f>
        <v/>
      </c>
      <c r="E15" s="1" t="str">
        <f>IF(AND($A15=180,$B15=270),Preprocess!H29,"")</f>
        <v/>
      </c>
      <c r="F15" s="1" t="str">
        <f t="shared" ref="F15:F20" si="5">IF(D15="","",-D15)</f>
        <v/>
      </c>
      <c r="G15" s="1" t="str">
        <f t="shared" ref="G15:G20" si="6">IF(E15="","",-E15)</f>
        <v/>
      </c>
      <c r="H15" s="1" t="e">
        <f t="shared" ref="H15:H19" si="7">F$14-F15</f>
        <v>#VALUE!</v>
      </c>
      <c r="I15" s="1" t="e">
        <f t="shared" ref="I15:I20" si="8">G$14-G15</f>
        <v>#VALUE!</v>
      </c>
      <c r="J15" s="1" t="e">
        <f t="shared" si="3"/>
        <v>#VALUE!</v>
      </c>
      <c r="K15" s="1" t="e">
        <f t="shared" si="3"/>
        <v>#VALUE!</v>
      </c>
      <c r="L15" s="5">
        <f t="shared" ref="L15:L20" si="9">L$14*COS(C15*PI()/180)+M$14*SIN(C15*PI()/180)</f>
        <v>-1.0173001015936742</v>
      </c>
      <c r="M15" s="6">
        <f t="shared" ref="M15:M20" si="10">M$14*COS(C15*PI()/180)-L$14*SIN(C15*PI()/180)</f>
        <v>-0.9823952887191082</v>
      </c>
      <c r="P15" s="7" t="e">
        <f>J15-N$14</f>
        <v>#VALUE!</v>
      </c>
      <c r="Q15" s="8" t="e">
        <f t="shared" si="4"/>
        <v>#VALUE!</v>
      </c>
      <c r="R15" s="12" t="str">
        <f t="shared" ref="R15:R20" si="11">IF(OR(D15="",E15=""),"",P15^2+Q15^2)</f>
        <v/>
      </c>
      <c r="U15" s="1"/>
    </row>
    <row r="16" spans="1:24" x14ac:dyDescent="0.25">
      <c r="A16">
        <f>Preprocess!D30</f>
        <v>-1</v>
      </c>
      <c r="B16">
        <f>Preprocess!E30</f>
        <v>-1</v>
      </c>
      <c r="C16">
        <f>Preprocess!F30</f>
        <v>361</v>
      </c>
      <c r="D16" s="1" t="str">
        <f>IF(AND($A16=180,$B16=270),Preprocess!G30,"")</f>
        <v/>
      </c>
      <c r="E16" s="1" t="str">
        <f>IF(AND($A16=180,$B16=270),Preprocess!H30,"")</f>
        <v/>
      </c>
      <c r="F16" s="1" t="str">
        <f t="shared" si="5"/>
        <v/>
      </c>
      <c r="G16" s="1" t="str">
        <f t="shared" si="6"/>
        <v/>
      </c>
      <c r="H16" s="1" t="e">
        <f t="shared" si="7"/>
        <v>#VALUE!</v>
      </c>
      <c r="I16" s="1" t="e">
        <f t="shared" si="8"/>
        <v>#VALUE!</v>
      </c>
      <c r="J16" s="1" t="e">
        <f t="shared" si="3"/>
        <v>#VALUE!</v>
      </c>
      <c r="K16" s="1" t="e">
        <f t="shared" si="3"/>
        <v>#VALUE!</v>
      </c>
      <c r="L16" s="7">
        <f t="shared" si="9"/>
        <v>-1.0173001015936742</v>
      </c>
      <c r="M16" s="8">
        <f t="shared" si="10"/>
        <v>-0.9823952887191082</v>
      </c>
      <c r="P16" s="7" t="e">
        <f>J16-N$14</f>
        <v>#VALUE!</v>
      </c>
      <c r="Q16" s="8" t="e">
        <f t="shared" si="4"/>
        <v>#VALUE!</v>
      </c>
      <c r="R16" s="12" t="str">
        <f t="shared" si="11"/>
        <v/>
      </c>
      <c r="U16" s="1"/>
    </row>
    <row r="17" spans="1:21" x14ac:dyDescent="0.25">
      <c r="A17">
        <f>Preprocess!D31</f>
        <v>-1</v>
      </c>
      <c r="B17">
        <f>Preprocess!E31</f>
        <v>-1</v>
      </c>
      <c r="C17">
        <f>Preprocess!F31</f>
        <v>361</v>
      </c>
      <c r="D17" s="1" t="str">
        <f>IF(AND($A17=180,$B17=270),Preprocess!G31,"")</f>
        <v/>
      </c>
      <c r="E17" s="1" t="str">
        <f>IF(AND($A17=180,$B17=270),Preprocess!H31,"")</f>
        <v/>
      </c>
      <c r="F17" s="1" t="str">
        <f t="shared" si="5"/>
        <v/>
      </c>
      <c r="G17" s="1" t="str">
        <f t="shared" si="6"/>
        <v/>
      </c>
      <c r="H17" s="1" t="e">
        <f t="shared" si="7"/>
        <v>#VALUE!</v>
      </c>
      <c r="I17" s="1" t="e">
        <f t="shared" si="8"/>
        <v>#VALUE!</v>
      </c>
      <c r="J17" s="1" t="e">
        <f t="shared" si="3"/>
        <v>#VALUE!</v>
      </c>
      <c r="K17" s="1" t="e">
        <f t="shared" si="3"/>
        <v>#VALUE!</v>
      </c>
      <c r="L17" s="7">
        <f t="shared" si="9"/>
        <v>-1.0173001015936742</v>
      </c>
      <c r="M17" s="8">
        <f t="shared" si="10"/>
        <v>-0.9823952887191082</v>
      </c>
      <c r="P17" s="7" t="e">
        <f t="shared" si="4"/>
        <v>#VALUE!</v>
      </c>
      <c r="Q17" s="8" t="e">
        <f t="shared" si="4"/>
        <v>#VALUE!</v>
      </c>
      <c r="R17" s="12" t="str">
        <f t="shared" si="11"/>
        <v/>
      </c>
      <c r="U17" s="1"/>
    </row>
    <row r="18" spans="1:21" x14ac:dyDescent="0.25">
      <c r="A18">
        <f>Preprocess!D32</f>
        <v>-1</v>
      </c>
      <c r="B18">
        <f>Preprocess!E32</f>
        <v>-1</v>
      </c>
      <c r="C18">
        <f>Preprocess!F32</f>
        <v>361</v>
      </c>
      <c r="D18" s="1" t="str">
        <f>IF(AND($A18=180,$B18=270),Preprocess!G32,"")</f>
        <v/>
      </c>
      <c r="E18" s="1" t="str">
        <f>IF(AND($A18=180,$B18=270),Preprocess!H32,"")</f>
        <v/>
      </c>
      <c r="F18" s="1" t="str">
        <f t="shared" si="5"/>
        <v/>
      </c>
      <c r="G18" s="1" t="str">
        <f t="shared" si="6"/>
        <v/>
      </c>
      <c r="H18" s="1" t="e">
        <f t="shared" si="7"/>
        <v>#VALUE!</v>
      </c>
      <c r="I18" s="1" t="e">
        <f t="shared" si="8"/>
        <v>#VALUE!</v>
      </c>
      <c r="J18" s="1" t="e">
        <f t="shared" si="3"/>
        <v>#VALUE!</v>
      </c>
      <c r="K18" s="1" t="e">
        <f t="shared" si="3"/>
        <v>#VALUE!</v>
      </c>
      <c r="L18" s="7">
        <f t="shared" si="9"/>
        <v>-1.0173001015936742</v>
      </c>
      <c r="M18" s="8">
        <f t="shared" si="10"/>
        <v>-0.9823952887191082</v>
      </c>
      <c r="P18" s="7" t="e">
        <f t="shared" si="4"/>
        <v>#VALUE!</v>
      </c>
      <c r="Q18" s="8" t="e">
        <f t="shared" si="4"/>
        <v>#VALUE!</v>
      </c>
      <c r="R18" s="12" t="str">
        <f t="shared" si="11"/>
        <v/>
      </c>
      <c r="U18" s="1"/>
    </row>
    <row r="19" spans="1:21" x14ac:dyDescent="0.25">
      <c r="A19">
        <f>Preprocess!D33</f>
        <v>-1</v>
      </c>
      <c r="B19">
        <f>Preprocess!E33</f>
        <v>-1</v>
      </c>
      <c r="C19">
        <f>Preprocess!F33</f>
        <v>361</v>
      </c>
      <c r="D19" s="1" t="str">
        <f>IF(AND($A19=180,$B19=270),Preprocess!G33,"")</f>
        <v/>
      </c>
      <c r="E19" s="1" t="str">
        <f>IF(AND($A19=180,$B19=270),Preprocess!H33,"")</f>
        <v/>
      </c>
      <c r="F19" s="1" t="str">
        <f t="shared" si="5"/>
        <v/>
      </c>
      <c r="G19" s="1" t="str">
        <f t="shared" si="6"/>
        <v/>
      </c>
      <c r="H19" s="1" t="e">
        <f t="shared" si="7"/>
        <v>#VALUE!</v>
      </c>
      <c r="I19" s="1" t="e">
        <f t="shared" si="8"/>
        <v>#VALUE!</v>
      </c>
      <c r="J19" s="1" t="e">
        <f t="shared" si="3"/>
        <v>#VALUE!</v>
      </c>
      <c r="K19" s="1" t="e">
        <f t="shared" si="3"/>
        <v>#VALUE!</v>
      </c>
      <c r="L19" s="7">
        <f t="shared" si="9"/>
        <v>-1.0173001015936742</v>
      </c>
      <c r="M19" s="8">
        <f t="shared" si="10"/>
        <v>-0.9823952887191082</v>
      </c>
      <c r="P19" s="7" t="e">
        <f t="shared" si="4"/>
        <v>#VALUE!</v>
      </c>
      <c r="Q19" s="8" t="e">
        <f t="shared" si="4"/>
        <v>#VALUE!</v>
      </c>
      <c r="R19" s="12" t="str">
        <f t="shared" si="11"/>
        <v/>
      </c>
      <c r="U19" s="1"/>
    </row>
    <row r="20" spans="1:21" ht="15.75" thickBot="1" x14ac:dyDescent="0.3">
      <c r="A20">
        <f>Preprocess!D34</f>
        <v>-1</v>
      </c>
      <c r="B20">
        <f>Preprocess!E34</f>
        <v>-1</v>
      </c>
      <c r="C20">
        <f>Preprocess!F34</f>
        <v>361</v>
      </c>
      <c r="D20" s="1" t="str">
        <f>IF(AND($A20=180,$B20=270),Preprocess!G34,"")</f>
        <v/>
      </c>
      <c r="E20" s="1" t="str">
        <f>IF(AND($A20=180,$B20=270),Preprocess!H34,"")</f>
        <v/>
      </c>
      <c r="F20" s="1" t="str">
        <f t="shared" si="5"/>
        <v/>
      </c>
      <c r="G20" s="1" t="str">
        <f t="shared" si="6"/>
        <v/>
      </c>
      <c r="H20" s="1" t="e">
        <f>F$14-F20</f>
        <v>#VALUE!</v>
      </c>
      <c r="I20" s="1" t="e">
        <f t="shared" si="8"/>
        <v>#VALUE!</v>
      </c>
      <c r="J20" s="1" t="e">
        <f t="shared" si="3"/>
        <v>#VALUE!</v>
      </c>
      <c r="K20" s="1" t="e">
        <f t="shared" si="3"/>
        <v>#VALUE!</v>
      </c>
      <c r="L20" s="9">
        <f t="shared" si="9"/>
        <v>-1.0173001015936742</v>
      </c>
      <c r="M20" s="10">
        <f t="shared" si="10"/>
        <v>-0.9823952887191082</v>
      </c>
      <c r="P20" s="9" t="e">
        <f t="shared" si="4"/>
        <v>#VALUE!</v>
      </c>
      <c r="Q20" s="10" t="e">
        <f t="shared" si="4"/>
        <v>#VALUE!</v>
      </c>
      <c r="R20" s="12" t="str">
        <f t="shared" si="11"/>
        <v/>
      </c>
      <c r="U20" s="1"/>
    </row>
    <row r="21" spans="1:21" x14ac:dyDescent="0.25">
      <c r="L21" s="41" t="s">
        <v>80</v>
      </c>
      <c r="M21" s="42"/>
      <c r="P21" s="41" t="s">
        <v>81</v>
      </c>
      <c r="Q21" s="42"/>
      <c r="R21" s="41" t="s">
        <v>82</v>
      </c>
      <c r="S21" s="42"/>
    </row>
    <row r="22" spans="1:21" ht="15.75" thickBot="1" x14ac:dyDescent="0.3">
      <c r="A22" t="str">
        <f>Data!A19</f>
        <v>ballCBCT</v>
      </c>
      <c r="L22" s="43"/>
      <c r="M22" s="44"/>
      <c r="P22" s="43"/>
      <c r="Q22" s="44"/>
      <c r="R22" s="43"/>
      <c r="S22" s="44"/>
    </row>
    <row r="23" spans="1:21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21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21" x14ac:dyDescent="0.25">
      <c r="A25" t="s">
        <v>59</v>
      </c>
      <c r="E25" s="1"/>
    </row>
    <row r="26" spans="1:21" x14ac:dyDescent="0.25">
      <c r="A26" t="s">
        <v>56</v>
      </c>
      <c r="B26" t="s">
        <v>57</v>
      </c>
      <c r="C26" t="s">
        <v>58</v>
      </c>
    </row>
    <row r="27" spans="1:21" x14ac:dyDescent="0.25">
      <c r="A27" s="1">
        <f>-A24</f>
        <v>0</v>
      </c>
      <c r="B27" s="1">
        <f t="shared" ref="B27:C27" si="12">-B24</f>
        <v>0</v>
      </c>
      <c r="C27" s="1">
        <f t="shared" si="12"/>
        <v>0</v>
      </c>
    </row>
  </sheetData>
  <sheetProtection selectLockedCells="1"/>
  <mergeCells count="4">
    <mergeCell ref="L21:M22"/>
    <mergeCell ref="P21:Q22"/>
    <mergeCell ref="R21:S22"/>
    <mergeCell ref="O12:P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="85" zoomScaleNormal="85" workbookViewId="0">
      <selection activeCell="L2" sqref="L2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46" t="s">
        <v>120</v>
      </c>
      <c r="I2" s="46"/>
      <c r="J2" s="46"/>
      <c r="K2" s="46"/>
      <c r="L2" s="35">
        <f>MAX(L4:L6)</f>
        <v>0</v>
      </c>
      <c r="M2" t="s">
        <v>121</v>
      </c>
    </row>
    <row r="3" spans="1:13" x14ac:dyDescent="0.25">
      <c r="A3" t="s">
        <v>108</v>
      </c>
      <c r="E3" s="22"/>
      <c r="F3" s="22" t="s">
        <v>28</v>
      </c>
      <c r="G3" s="22" t="s">
        <v>30</v>
      </c>
      <c r="H3" s="22" t="s">
        <v>31</v>
      </c>
      <c r="I3" s="22" t="s">
        <v>33</v>
      </c>
      <c r="J3" s="22" t="s">
        <v>117</v>
      </c>
      <c r="K3" s="22" t="s">
        <v>118</v>
      </c>
      <c r="L3" s="22" t="s">
        <v>119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22" t="str">
        <f>IF(AND($A4=180,$B4=0,$C4=0),Preprocess!H24,"")</f>
        <v/>
      </c>
      <c r="F4" s="34" t="str">
        <f>IF(D4="","",-D4)</f>
        <v/>
      </c>
      <c r="G4" s="34" t="str">
        <f>IF(E4="","",-E4)</f>
        <v/>
      </c>
      <c r="H4" s="37">
        <v>-1</v>
      </c>
      <c r="I4" s="37">
        <v>-1</v>
      </c>
      <c r="J4" s="34" t="e">
        <f>F4-H$4</f>
        <v>#VALUE!</v>
      </c>
      <c r="K4" s="34" t="e">
        <f>G4-I$4</f>
        <v>#VALUE!</v>
      </c>
      <c r="L4" s="34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22" t="str">
        <f>IF(AND($A5=180,$B5=90,$C5=0),Preprocess!H25,"")</f>
        <v/>
      </c>
      <c r="F5" s="34" t="str">
        <f t="shared" ref="F5:G7" si="0">IF(D5="","",-D5)</f>
        <v/>
      </c>
      <c r="G5" s="34" t="str">
        <f t="shared" si="0"/>
        <v/>
      </c>
      <c r="H5" s="34"/>
      <c r="I5" s="22"/>
      <c r="J5" s="34" t="e">
        <f>F5-H$4</f>
        <v>#VALUE!</v>
      </c>
      <c r="K5" s="34" t="e">
        <f>G5-I$4</f>
        <v>#VALUE!</v>
      </c>
      <c r="L5" s="34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22" t="str">
        <f>IF(AND($A6=180,$B6=270,$C6=0),Preprocess!H26,"")</f>
        <v/>
      </c>
      <c r="F6" s="34" t="str">
        <f t="shared" si="0"/>
        <v/>
      </c>
      <c r="G6" s="34" t="str">
        <f t="shared" si="0"/>
        <v/>
      </c>
      <c r="H6" s="34"/>
      <c r="I6" s="22"/>
      <c r="J6" s="34" t="e">
        <f t="shared" ref="J6" si="2">F6-H$4</f>
        <v>#VALUE!</v>
      </c>
      <c r="K6" s="34" t="e">
        <f>G6-I$4</f>
        <v>#VALUE!</v>
      </c>
      <c r="L6" s="34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="85" zoomScaleNormal="85" workbookViewId="0">
      <selection activeCell="A23" sqref="A23:K24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67</v>
      </c>
      <c r="B1" t="s">
        <v>68</v>
      </c>
      <c r="C1" s="14" t="s">
        <v>69</v>
      </c>
      <c r="D1" s="15" t="s">
        <v>69</v>
      </c>
      <c r="E1" s="16" t="s">
        <v>69</v>
      </c>
      <c r="F1" s="14" t="s">
        <v>71</v>
      </c>
      <c r="G1" s="16" t="s">
        <v>71</v>
      </c>
      <c r="H1" s="19" t="s">
        <v>37</v>
      </c>
      <c r="I1" s="19" t="str">
        <f>Analysis!P2</f>
        <v>Coll-Gantry-misalign</v>
      </c>
      <c r="J1" s="19" t="s">
        <v>66</v>
      </c>
      <c r="K1" s="19" t="s">
        <v>73</v>
      </c>
    </row>
    <row r="2" spans="1:11" x14ac:dyDescent="0.25">
      <c r="C2" s="17" t="s">
        <v>70</v>
      </c>
      <c r="D2" t="s">
        <v>70</v>
      </c>
      <c r="E2" s="18" t="s">
        <v>70</v>
      </c>
      <c r="F2" s="17" t="s">
        <v>70</v>
      </c>
      <c r="G2" s="18" t="s">
        <v>70</v>
      </c>
      <c r="H2" s="20"/>
      <c r="I2" s="20" t="s">
        <v>22</v>
      </c>
      <c r="J2" s="20"/>
      <c r="K2" s="20" t="s">
        <v>74</v>
      </c>
    </row>
    <row r="3" spans="1:11" ht="15.75" thickBot="1" x14ac:dyDescent="0.3">
      <c r="C3" s="21" t="s">
        <v>62</v>
      </c>
      <c r="D3" s="22" t="s">
        <v>63</v>
      </c>
      <c r="E3" s="23" t="s">
        <v>64</v>
      </c>
      <c r="F3" s="21" t="s">
        <v>62</v>
      </c>
      <c r="G3" s="23" t="s">
        <v>64</v>
      </c>
      <c r="H3" s="24" t="s">
        <v>72</v>
      </c>
      <c r="I3" s="24" t="s">
        <v>72</v>
      </c>
      <c r="J3" s="24" t="s">
        <v>72</v>
      </c>
      <c r="K3" s="24" t="s">
        <v>72</v>
      </c>
    </row>
    <row r="4" spans="1:11" ht="15.75" thickBot="1" x14ac:dyDescent="0.3">
      <c r="A4" s="32" t="str">
        <f>Data!B1</f>
        <v>Data Date: NA</v>
      </c>
      <c r="B4" t="s">
        <v>99</v>
      </c>
      <c r="C4" s="25" t="e">
        <f>Analysis!V3-Analysis!V$4</f>
        <v>#DIV/0!</v>
      </c>
      <c r="D4" s="26" t="e">
        <f>Analysis!W3-Analysis!W$4</f>
        <v>#DIV/0!</v>
      </c>
      <c r="E4" s="27" t="e">
        <f>Analysis!X3-Analysis!X$4</f>
        <v>#DIV/0!</v>
      </c>
      <c r="F4" s="25" t="e">
        <f>Analysis!V5-Analysis!V$4</f>
        <v>#DIV/0!</v>
      </c>
      <c r="G4" s="28" t="e">
        <f>Analysis!X5-Analysis!X$4</f>
        <v>#DIV/0!</v>
      </c>
      <c r="H4" s="29" t="str">
        <f>Analysis!O3</f>
        <v/>
      </c>
      <c r="I4" s="30" t="e">
        <f>Analysis!P3</f>
        <v>#DIV/0!</v>
      </c>
      <c r="J4" s="30" t="str">
        <f>Analysis!T1</f>
        <v/>
      </c>
      <c r="K4" s="30">
        <f>2*SQRT(Analysis!R12)</f>
        <v>0</v>
      </c>
    </row>
    <row r="5" spans="1:11" x14ac:dyDescent="0.25">
      <c r="C5" s="31"/>
      <c r="D5" s="31"/>
      <c r="E5" s="31"/>
      <c r="F5" s="31"/>
      <c r="G5" s="31"/>
      <c r="H5" s="31"/>
      <c r="I5" s="31"/>
      <c r="J5" s="31"/>
      <c r="K5" s="31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77</v>
      </c>
    </row>
    <row r="3" spans="3:6" x14ac:dyDescent="0.25">
      <c r="D3">
        <v>1</v>
      </c>
      <c r="E3" t="s">
        <v>78</v>
      </c>
    </row>
    <row r="4" spans="3:6" x14ac:dyDescent="0.25">
      <c r="D4">
        <v>2</v>
      </c>
      <c r="E4" t="s">
        <v>84</v>
      </c>
    </row>
    <row r="5" spans="3:6" x14ac:dyDescent="0.25">
      <c r="D5">
        <v>3</v>
      </c>
      <c r="E5" t="s">
        <v>85</v>
      </c>
    </row>
    <row r="6" spans="3:6" x14ac:dyDescent="0.25">
      <c r="D6">
        <v>4</v>
      </c>
      <c r="E6" t="s">
        <v>86</v>
      </c>
    </row>
    <row r="7" spans="3:6" x14ac:dyDescent="0.25">
      <c r="E7" t="s">
        <v>87</v>
      </c>
      <c r="F7" t="s">
        <v>88</v>
      </c>
    </row>
    <row r="8" spans="3:6" x14ac:dyDescent="0.25">
      <c r="E8" t="s">
        <v>89</v>
      </c>
      <c r="F8" t="s">
        <v>91</v>
      </c>
    </row>
    <row r="9" spans="3:6" x14ac:dyDescent="0.25">
      <c r="E9" t="s">
        <v>90</v>
      </c>
      <c r="F9" t="s">
        <v>92</v>
      </c>
    </row>
    <row r="10" spans="3:6" x14ac:dyDescent="0.25">
      <c r="E10" t="s">
        <v>93</v>
      </c>
      <c r="F10" t="s">
        <v>94</v>
      </c>
    </row>
    <row r="11" spans="3:6" x14ac:dyDescent="0.25">
      <c r="D11">
        <v>5</v>
      </c>
      <c r="E11" t="s">
        <v>124</v>
      </c>
    </row>
    <row r="12" spans="3:6" x14ac:dyDescent="0.25">
      <c r="D12">
        <v>6</v>
      </c>
      <c r="E12" t="s">
        <v>125</v>
      </c>
    </row>
    <row r="13" spans="3:6" x14ac:dyDescent="0.25">
      <c r="D13">
        <v>8</v>
      </c>
      <c r="E13" t="s">
        <v>95</v>
      </c>
    </row>
    <row r="14" spans="3:6" x14ac:dyDescent="0.25">
      <c r="D14">
        <v>9</v>
      </c>
      <c r="E14" t="s">
        <v>122</v>
      </c>
    </row>
    <row r="15" spans="3:6" x14ac:dyDescent="0.25">
      <c r="D15">
        <v>10</v>
      </c>
      <c r="E15" t="s">
        <v>96</v>
      </c>
    </row>
    <row r="16" spans="3:6" x14ac:dyDescent="0.25">
      <c r="D16">
        <v>11</v>
      </c>
      <c r="E16" t="s">
        <v>126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2024-12-20T15:17:00Z</dcterms:modified>
</cp:coreProperties>
</file>