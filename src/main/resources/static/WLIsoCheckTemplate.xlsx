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f\IntelliJ\ws\aqa\src\main\resources\static\"/>
    </mc:Choice>
  </mc:AlternateContent>
  <xr:revisionPtr revIDLastSave="0" documentId="13_ncr:1_{28E2D3CA-9F85-4B34-BEE7-4272916FF625}" xr6:coauthVersionLast="47" xr6:coauthVersionMax="47" xr10:uidLastSave="{00000000-0000-0000-0000-000000000000}"/>
  <bookViews>
    <workbookView xWindow="28680" yWindow="-345" windowWidth="29040" windowHeight="18240" xr2:uid="{00000000-000D-0000-FFFF-FFFF00000000}"/>
  </bookViews>
  <sheets>
    <sheet name="SNCImport" sheetId="6" r:id="rId1"/>
    <sheet name="Data" sheetId="1" r:id="rId2"/>
    <sheet name="Preprocess" sheetId="2" r:id="rId3"/>
    <sheet name="Analysis" sheetId="3" r:id="rId4"/>
    <sheet name="Collimator" sheetId="8" r:id="rId5"/>
    <sheet name="Report" sheetId="4" r:id="rId6"/>
    <sheet name="Instructions" sheetId="5" r:id="rId7"/>
  </sheets>
  <definedNames>
    <definedName name="solver_adj" localSheetId="3" hidden="1">Analysis!$L$14:$O$14</definedName>
    <definedName name="solver_adj" localSheetId="4" hidden="1">Collimator!$H$4:$I$4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3" hidden="1">1</definedName>
    <definedName name="solver_drv" localSheetId="4" hidden="1">1</definedName>
    <definedName name="solver_drv" localSheetId="5" hidden="1">2</definedName>
    <definedName name="solver_eng" localSheetId="3" hidden="1">1</definedName>
    <definedName name="solver_eng" localSheetId="4" hidden="1">1</definedName>
    <definedName name="solver_eng" localSheetId="1" hidden="1">1</definedName>
    <definedName name="solver_eng" localSheetId="5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3" hidden="1">Analysis!$L$14</definedName>
    <definedName name="solver_lhs1" localSheetId="4" hidden="1">Collimator!$H$4</definedName>
    <definedName name="solver_lhs2" localSheetId="3" hidden="1">Analysis!$L$14</definedName>
    <definedName name="solver_lhs2" localSheetId="4" hidden="1">Collimator!$H$4</definedName>
    <definedName name="solver_lhs3" localSheetId="3" hidden="1">Analysis!$M$14</definedName>
    <definedName name="solver_lhs3" localSheetId="4" hidden="1">Collimator!$I$4</definedName>
    <definedName name="solver_lhs4" localSheetId="3" hidden="1">Analysis!$M$14</definedName>
    <definedName name="solver_lhs4" localSheetId="4" hidden="1">Collimator!$I$4</definedName>
    <definedName name="solver_lhs5" localSheetId="3" hidden="1">Analysis!$N$14</definedName>
    <definedName name="solver_lhs5" localSheetId="4" hidden="1">Collimator!#REF!</definedName>
    <definedName name="solver_lhs6" localSheetId="3" hidden="1">Analysis!$N$14</definedName>
    <definedName name="solver_lhs6" localSheetId="4" hidden="1">Collimator!#REF!</definedName>
    <definedName name="solver_lhs7" localSheetId="3" hidden="1">Analysis!$O$14</definedName>
    <definedName name="solver_lhs7" localSheetId="4" hidden="1">Collimator!#REF!</definedName>
    <definedName name="solver_lhs8" localSheetId="3" hidden="1">Analysis!$O$14</definedName>
    <definedName name="solver_lhs8" localSheetId="4" hidden="1">Collimator!#REF!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3" hidden="1">2</definedName>
    <definedName name="solver_neg" localSheetId="4" hidden="1">2</definedName>
    <definedName name="solver_neg" localSheetId="1" hidden="1">1</definedName>
    <definedName name="solver_neg" localSheetId="5" hidden="1">1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3" hidden="1">8</definedName>
    <definedName name="solver_num" localSheetId="4" hidden="1">4</definedName>
    <definedName name="solver_num" localSheetId="1" hidden="1">0</definedName>
    <definedName name="solver_num" localSheetId="5" hidden="1">0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3" hidden="1">Analysis!$R$12</definedName>
    <definedName name="solver_opt" localSheetId="4" hidden="1">Collimator!$L$2</definedName>
    <definedName name="solver_opt" localSheetId="1" hidden="1">Data!$B$3</definedName>
    <definedName name="solver_opt" localSheetId="5" hidden="1">Report!$K$4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3" hidden="1">1</definedName>
    <definedName name="solver_rbv" localSheetId="4" hidden="1">1</definedName>
    <definedName name="solver_rbv" localSheetId="5" hidden="1">2</definedName>
    <definedName name="solver_rel1" localSheetId="3" hidden="1">1</definedName>
    <definedName name="solver_rel1" localSheetId="4" hidden="1">1</definedName>
    <definedName name="solver_rel2" localSheetId="3" hidden="1">3</definedName>
    <definedName name="solver_rel2" localSheetId="4" hidden="1">3</definedName>
    <definedName name="solver_rel3" localSheetId="3" hidden="1">1</definedName>
    <definedName name="solver_rel3" localSheetId="4" hidden="1">1</definedName>
    <definedName name="solver_rel4" localSheetId="3" hidden="1">3</definedName>
    <definedName name="solver_rel4" localSheetId="4" hidden="1">3</definedName>
    <definedName name="solver_rel5" localSheetId="3" hidden="1">1</definedName>
    <definedName name="solver_rel5" localSheetId="4" hidden="1">3</definedName>
    <definedName name="solver_rel6" localSheetId="3" hidden="1">3</definedName>
    <definedName name="solver_rel6" localSheetId="4" hidden="1">3</definedName>
    <definedName name="solver_rel7" localSheetId="3" hidden="1">1</definedName>
    <definedName name="solver_rel7" localSheetId="4" hidden="1">3</definedName>
    <definedName name="solver_rel8" localSheetId="3" hidden="1">3</definedName>
    <definedName name="solver_rel8" localSheetId="4" hidden="1">3</definedName>
    <definedName name="solver_rhs1" localSheetId="3" hidden="1">5</definedName>
    <definedName name="solver_rhs1" localSheetId="4" hidden="1">5</definedName>
    <definedName name="solver_rhs2" localSheetId="3" hidden="1">-5</definedName>
    <definedName name="solver_rhs2" localSheetId="4" hidden="1">-5</definedName>
    <definedName name="solver_rhs3" localSheetId="3" hidden="1">5</definedName>
    <definedName name="solver_rhs3" localSheetId="4" hidden="1">5</definedName>
    <definedName name="solver_rhs4" localSheetId="3" hidden="1">-5</definedName>
    <definedName name="solver_rhs4" localSheetId="4" hidden="1">-5</definedName>
    <definedName name="solver_rhs5" localSheetId="3" hidden="1">5</definedName>
    <definedName name="solver_rhs5" localSheetId="4" hidden="1">-5</definedName>
    <definedName name="solver_rhs6" localSheetId="3" hidden="1">-5</definedName>
    <definedName name="solver_rhs6" localSheetId="4" hidden="1">-5</definedName>
    <definedName name="solver_rhs7" localSheetId="3" hidden="1">5</definedName>
    <definedName name="solver_rhs7" localSheetId="4" hidden="1">-5</definedName>
    <definedName name="solver_rhs8" localSheetId="3" hidden="1">-5</definedName>
    <definedName name="solver_rhs8" localSheetId="4" hidden="1">-5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3" hidden="1">1</definedName>
    <definedName name="solver_scl" localSheetId="4" hidden="1">1</definedName>
    <definedName name="solver_scl" localSheetId="5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3" hidden="1">2</definedName>
    <definedName name="solver_typ" localSheetId="4" hidden="1">2</definedName>
    <definedName name="solver_typ" localSheetId="1" hidden="1">1</definedName>
    <definedName name="solver_typ" localSheetId="5" hidden="1">1</definedName>
    <definedName name="solver_val" localSheetId="3" hidden="1">0</definedName>
    <definedName name="solver_val" localSheetId="4" hidden="1">0</definedName>
    <definedName name="solver_val" localSheetId="1" hidden="1">0</definedName>
    <definedName name="solver_val" localSheetId="5" hidden="1">0</definedName>
    <definedName name="solver_ver" localSheetId="3" hidden="1">3</definedName>
    <definedName name="solver_ver" localSheetId="4" hidden="1">3</definedName>
    <definedName name="solver_ver" localSheetId="1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G6" i="2"/>
  <c r="G7" i="2"/>
  <c r="G8" i="2"/>
  <c r="G9" i="2"/>
  <c r="G10" i="2"/>
  <c r="G11" i="2"/>
  <c r="G12" i="2"/>
  <c r="G13" i="2"/>
  <c r="G14" i="2"/>
  <c r="G15" i="2"/>
  <c r="G16" i="2"/>
  <c r="G17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G3" i="2"/>
  <c r="D4" i="2"/>
  <c r="D3" i="2"/>
  <c r="C3" i="2"/>
  <c r="V5" i="3" l="1"/>
  <c r="X5" i="3"/>
  <c r="A22" i="3"/>
  <c r="A23" i="3"/>
  <c r="B23" i="3"/>
  <c r="C23" i="3"/>
  <c r="G7" i="8"/>
  <c r="F7" i="8"/>
  <c r="A4" i="4"/>
  <c r="I1" i="4" l="1"/>
  <c r="B21" i="1" l="1"/>
  <c r="B24" i="3" s="1"/>
  <c r="B27" i="3" s="1"/>
  <c r="W3" i="3" s="1"/>
  <c r="A21" i="1"/>
  <c r="A24" i="3" s="1"/>
  <c r="A27" i="3" s="1"/>
  <c r="V3" i="3" s="1"/>
  <c r="C21" i="1" l="1"/>
  <c r="C24" i="3" s="1"/>
  <c r="C27" i="3" s="1"/>
  <c r="X3" i="3" s="1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  <c r="V4" i="2" l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A2" i="2"/>
  <c r="B1" i="2"/>
  <c r="C1" i="2"/>
  <c r="A1" i="2"/>
  <c r="D20" i="2" l="1" a="1"/>
  <c r="D20" i="2" l="1"/>
  <c r="A3" i="3" s="1"/>
  <c r="C4" i="3"/>
  <c r="C10" i="3"/>
  <c r="C15" i="3"/>
  <c r="A18" i="3"/>
  <c r="C5" i="8"/>
  <c r="B5" i="3"/>
  <c r="C18" i="3"/>
  <c r="C7" i="3"/>
  <c r="C11" i="3"/>
  <c r="A19" i="3"/>
  <c r="A8" i="3"/>
  <c r="A14" i="3"/>
  <c r="B19" i="3"/>
  <c r="B8" i="3"/>
  <c r="C19" i="3"/>
  <c r="A6" i="3"/>
  <c r="C14" i="3"/>
  <c r="A5" i="3"/>
  <c r="A7" i="3"/>
  <c r="A11" i="3"/>
  <c r="B18" i="3"/>
  <c r="B5" i="8"/>
  <c r="B7" i="3"/>
  <c r="B11" i="3"/>
  <c r="A5" i="8"/>
  <c r="C5" i="3"/>
  <c r="A16" i="3"/>
  <c r="C4" i="8"/>
  <c r="B16" i="3"/>
  <c r="B4" i="8"/>
  <c r="B3" i="3"/>
  <c r="B14" i="3"/>
  <c r="C16" i="3"/>
  <c r="A4" i="8"/>
  <c r="C8" i="3"/>
  <c r="B6" i="3"/>
  <c r="A9" i="3"/>
  <c r="A20" i="3"/>
  <c r="C6" i="3"/>
  <c r="B9" i="3"/>
  <c r="B20" i="3"/>
  <c r="C9" i="3"/>
  <c r="A17" i="3"/>
  <c r="C20" i="3"/>
  <c r="C6" i="8"/>
  <c r="A4" i="3"/>
  <c r="A10" i="3"/>
  <c r="A15" i="3"/>
  <c r="B17" i="3"/>
  <c r="B6" i="8"/>
  <c r="B4" i="3"/>
  <c r="B10" i="3"/>
  <c r="B15" i="3"/>
  <c r="C17" i="3"/>
  <c r="A6" i="8"/>
  <c r="D15" i="3" l="1"/>
  <c r="F15" i="3" s="1"/>
  <c r="E15" i="3"/>
  <c r="G15" i="3" s="1"/>
  <c r="D14" i="3"/>
  <c r="F14" i="3" s="1"/>
  <c r="E14" i="3"/>
  <c r="G14" i="3" s="1"/>
  <c r="D3" i="3"/>
  <c r="F3" i="3" s="1"/>
  <c r="E3" i="3"/>
  <c r="H3" i="3" s="1"/>
  <c r="D10" i="3"/>
  <c r="G10" i="3" s="1"/>
  <c r="E10" i="3"/>
  <c r="H10" i="3" s="1"/>
  <c r="D8" i="3"/>
  <c r="F8" i="3" s="1"/>
  <c r="E8" i="3"/>
  <c r="H8" i="3" s="1"/>
  <c r="D4" i="3"/>
  <c r="F4" i="3" s="1"/>
  <c r="E4" i="3"/>
  <c r="H4" i="3" s="1"/>
  <c r="E4" i="8"/>
  <c r="G4" i="8" s="1"/>
  <c r="K4" i="8" s="1"/>
  <c r="D4" i="8"/>
  <c r="F4" i="8" s="1"/>
  <c r="J4" i="8" s="1"/>
  <c r="E19" i="3"/>
  <c r="G19" i="3" s="1"/>
  <c r="D19" i="3"/>
  <c r="M16" i="3"/>
  <c r="L16" i="3"/>
  <c r="L20" i="3"/>
  <c r="M20" i="3"/>
  <c r="D11" i="3"/>
  <c r="G11" i="3" s="1"/>
  <c r="E11" i="3"/>
  <c r="H11" i="3" s="1"/>
  <c r="E6" i="8"/>
  <c r="G6" i="8" s="1"/>
  <c r="K6" i="8" s="1"/>
  <c r="D6" i="8"/>
  <c r="F6" i="8" s="1"/>
  <c r="J6" i="8" s="1"/>
  <c r="D17" i="3"/>
  <c r="F17" i="3" s="1"/>
  <c r="E17" i="3"/>
  <c r="G17" i="3" s="1"/>
  <c r="D7" i="3"/>
  <c r="F7" i="3" s="1"/>
  <c r="E7" i="3"/>
  <c r="H7" i="3" s="1"/>
  <c r="L18" i="3"/>
  <c r="M18" i="3"/>
  <c r="L17" i="3"/>
  <c r="M17" i="3"/>
  <c r="D5" i="3"/>
  <c r="G5" i="3" s="1"/>
  <c r="E5" i="3"/>
  <c r="H5" i="3" s="1"/>
  <c r="D6" i="3"/>
  <c r="G6" i="3" s="1"/>
  <c r="E6" i="3"/>
  <c r="H6" i="3" s="1"/>
  <c r="D18" i="3"/>
  <c r="F18" i="3" s="1"/>
  <c r="E18" i="3"/>
  <c r="G18" i="3" s="1"/>
  <c r="D16" i="3"/>
  <c r="F16" i="3" s="1"/>
  <c r="E16" i="3"/>
  <c r="G16" i="3" s="1"/>
  <c r="M19" i="3"/>
  <c r="L19" i="3"/>
  <c r="M15" i="3"/>
  <c r="L15" i="3"/>
  <c r="D20" i="3"/>
  <c r="F20" i="3" s="1"/>
  <c r="E20" i="3"/>
  <c r="G20" i="3" s="1"/>
  <c r="E9" i="3"/>
  <c r="H9" i="3" s="1"/>
  <c r="D9" i="3"/>
  <c r="F9" i="3" s="1"/>
  <c r="E5" i="8"/>
  <c r="G5" i="8" s="1"/>
  <c r="K5" i="8" s="1"/>
  <c r="D5" i="8"/>
  <c r="L6" i="8" l="1"/>
  <c r="J5" i="3"/>
  <c r="J10" i="3"/>
  <c r="Q10" i="3" s="1"/>
  <c r="I8" i="3"/>
  <c r="Q9" i="3" s="1"/>
  <c r="K3" i="3"/>
  <c r="I19" i="3"/>
  <c r="K19" i="3" s="1"/>
  <c r="Q19" i="3" s="1"/>
  <c r="I17" i="3"/>
  <c r="K17" i="3" s="1"/>
  <c r="Q17" i="3" s="1"/>
  <c r="I20" i="3"/>
  <c r="K20" i="3" s="1"/>
  <c r="Q20" i="3" s="1"/>
  <c r="I14" i="3"/>
  <c r="K14" i="3" s="1"/>
  <c r="Q14" i="3" s="1"/>
  <c r="I18" i="3"/>
  <c r="K18" i="3" s="1"/>
  <c r="Q18" i="3" s="1"/>
  <c r="I16" i="3"/>
  <c r="K16" i="3" s="1"/>
  <c r="Q16" i="3" s="1"/>
  <c r="H18" i="3"/>
  <c r="J18" i="3" s="1"/>
  <c r="P18" i="3" s="1"/>
  <c r="H17" i="3"/>
  <c r="J17" i="3" s="1"/>
  <c r="P17" i="3" s="1"/>
  <c r="H16" i="3"/>
  <c r="J16" i="3" s="1"/>
  <c r="P16" i="3" s="1"/>
  <c r="H20" i="3"/>
  <c r="J20" i="3" s="1"/>
  <c r="P20" i="3" s="1"/>
  <c r="H14" i="3"/>
  <c r="J14" i="3" s="1"/>
  <c r="H15" i="3"/>
  <c r="J15" i="3" s="1"/>
  <c r="P15" i="3" s="1"/>
  <c r="K10" i="3"/>
  <c r="R10" i="3" s="1"/>
  <c r="I3" i="3"/>
  <c r="Q4" i="3" s="1"/>
  <c r="F19" i="3"/>
  <c r="H19" i="3" s="1"/>
  <c r="J19" i="3" s="1"/>
  <c r="P19" i="3" s="1"/>
  <c r="F5" i="8"/>
  <c r="J5" i="8" s="1"/>
  <c r="L5" i="8" s="1"/>
  <c r="I15" i="3"/>
  <c r="K15" i="3" s="1"/>
  <c r="Q15" i="3" s="1"/>
  <c r="L4" i="8"/>
  <c r="K5" i="3"/>
  <c r="R6" i="3" s="1"/>
  <c r="K8" i="3"/>
  <c r="R9" i="3" s="1"/>
  <c r="Q11" i="3" l="1"/>
  <c r="R8" i="3"/>
  <c r="Q8" i="3"/>
  <c r="R16" i="3"/>
  <c r="R11" i="3"/>
  <c r="R20" i="3"/>
  <c r="Q3" i="3"/>
  <c r="R19" i="3"/>
  <c r="R7" i="3"/>
  <c r="R17" i="3"/>
  <c r="Q7" i="3"/>
  <c r="N3" i="3"/>
  <c r="X4" i="3" s="1"/>
  <c r="O3" i="3"/>
  <c r="O7" i="3"/>
  <c r="R18" i="3"/>
  <c r="R5" i="3"/>
  <c r="M3" i="3"/>
  <c r="W4" i="3" s="1"/>
  <c r="N7" i="3"/>
  <c r="R15" i="3"/>
  <c r="R4" i="3"/>
  <c r="K12" i="3"/>
  <c r="P14" i="3"/>
  <c r="R14" i="3" s="1"/>
  <c r="R3" i="3"/>
  <c r="L3" i="3"/>
  <c r="M7" i="3"/>
  <c r="L2" i="8"/>
  <c r="C12" i="6" s="1"/>
  <c r="Q6" i="3"/>
  <c r="Q5" i="3"/>
  <c r="S4" i="3" l="1"/>
  <c r="T4" i="3"/>
  <c r="S3" i="3"/>
  <c r="O8" i="3"/>
  <c r="C11" i="6" s="1"/>
  <c r="P3" i="3"/>
  <c r="V4" i="3"/>
  <c r="C7" i="6"/>
  <c r="H4" i="4"/>
  <c r="T3" i="3"/>
  <c r="E4" i="4"/>
  <c r="C6" i="6"/>
  <c r="G4" i="4"/>
  <c r="C4" i="6"/>
  <c r="R12" i="3"/>
  <c r="C3" i="6"/>
  <c r="D4" i="4"/>
  <c r="S2" i="3" l="1"/>
  <c r="T2" i="3"/>
  <c r="T1" i="3" s="1"/>
  <c r="C9" i="6" s="1"/>
  <c r="K4" i="4"/>
  <c r="C10" i="6"/>
  <c r="F4" i="4"/>
  <c r="C5" i="6"/>
  <c r="C2" i="6"/>
  <c r="C4" i="4"/>
  <c r="C8" i="6"/>
  <c r="I4" i="4"/>
  <c r="J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<sst xmlns="http://schemas.openxmlformats.org/spreadsheetml/2006/main" count="267" uniqueCount="132">
  <si>
    <t>machine id</t>
  </si>
  <si>
    <t>field name</t>
  </si>
  <si>
    <t>status</t>
  </si>
  <si>
    <t>gantry angle</t>
  </si>
  <si>
    <t>coll angle</t>
  </si>
  <si>
    <t>table yaw</t>
  </si>
  <si>
    <t>X offset corrected box-ball</t>
  </si>
  <si>
    <t>Y offset corrected box-ball</t>
  </si>
  <si>
    <t>XY offset corrected</t>
  </si>
  <si>
    <t>X box center corrected</t>
  </si>
  <si>
    <t>Y box center corrected</t>
  </si>
  <si>
    <t>X tongue and groove correction</t>
  </si>
  <si>
    <t>Y tongue and groove correction</t>
  </si>
  <si>
    <t>X ball center</t>
  </si>
  <si>
    <t>Y ball center</t>
  </si>
  <si>
    <t>box left uncorrected</t>
  </si>
  <si>
    <t>box right uncorrected</t>
  </si>
  <si>
    <t>box top uncorrected</t>
  </si>
  <si>
    <t>box bottom uncorrected</t>
  </si>
  <si>
    <t>X box center uncorrected</t>
  </si>
  <si>
    <t>Y box center uncorrected</t>
  </si>
  <si>
    <t>Patient ID</t>
  </si>
  <si>
    <t>Gantry</t>
  </si>
  <si>
    <t>Table</t>
  </si>
  <si>
    <t>Gantry angle</t>
  </si>
  <si>
    <t>Collimator angle</t>
  </si>
  <si>
    <t>Table angle</t>
  </si>
  <si>
    <t>Sorted</t>
  </si>
  <si>
    <t>CA-X</t>
  </si>
  <si>
    <t>CA-Y</t>
  </si>
  <si>
    <t>CA-Z</t>
  </si>
  <si>
    <t>Coll-X</t>
  </si>
  <si>
    <t>Coll-Y</t>
  </si>
  <si>
    <t>Coll-Z</t>
  </si>
  <si>
    <t>ISO-X</t>
  </si>
  <si>
    <t>ISO-Y</t>
  </si>
  <si>
    <t>ISO-Z</t>
  </si>
  <si>
    <t>Gantry flex</t>
  </si>
  <si>
    <t>Coll-Gantry-misalign</t>
  </si>
  <si>
    <t>MLC-dx</t>
  </si>
  <si>
    <t>MLC-dy</t>
  </si>
  <si>
    <t>BB-X</t>
  </si>
  <si>
    <t>BB-Z</t>
  </si>
  <si>
    <t>Table-X</t>
  </si>
  <si>
    <t>Table-Z</t>
  </si>
  <si>
    <t>BB-X'</t>
  </si>
  <si>
    <t>BB-Z'</t>
  </si>
  <si>
    <t>dX</t>
  </si>
  <si>
    <t>dZ</t>
  </si>
  <si>
    <t>BB-X"</t>
  </si>
  <si>
    <t>BB-Z"</t>
  </si>
  <si>
    <t>BB-R"^2</t>
  </si>
  <si>
    <t>ballCBCT</t>
  </si>
  <si>
    <t>x (mm)</t>
  </si>
  <si>
    <t>y (mm)</t>
  </si>
  <si>
    <t>z (mm)</t>
  </si>
  <si>
    <t>x</t>
  </si>
  <si>
    <t>y</t>
  </si>
  <si>
    <t>z</t>
  </si>
  <si>
    <t>CBCT-ball-table0</t>
  </si>
  <si>
    <t>CBCT origin relative to BB at table zero</t>
  </si>
  <si>
    <t>Table axis relative to BB at table zero</t>
  </si>
  <si>
    <t>X (mm)</t>
  </si>
  <si>
    <t>Y (mm)</t>
  </si>
  <si>
    <t>Z (mm)</t>
  </si>
  <si>
    <t>Gantry isocenter relative to BB at table zero</t>
  </si>
  <si>
    <t>MLC offset</t>
  </si>
  <si>
    <t>Date and Time</t>
  </si>
  <si>
    <t>Machine</t>
  </si>
  <si>
    <t>CBCT-&gt;</t>
  </si>
  <si>
    <t>Gantry Isocenter</t>
  </si>
  <si>
    <t>Table Axis-&gt;</t>
  </si>
  <si>
    <t>(mm)</t>
  </si>
  <si>
    <t>Table wobble</t>
  </si>
  <si>
    <t>diameter</t>
  </si>
  <si>
    <t>AcqIsocenter</t>
  </si>
  <si>
    <t>Ball</t>
  </si>
  <si>
    <t>Insert Data:</t>
  </si>
  <si>
    <t>Use Data worksheet</t>
  </si>
  <si>
    <t>-&gt;</t>
  </si>
  <si>
    <t>Coordinates in rotated system</t>
  </si>
  <si>
    <t>BB coordinates after minimization</t>
  </si>
  <si>
    <t>sum of squars x^2 +y^2 for each table angle</t>
  </si>
  <si>
    <t>Max square of BB displacement</t>
  </si>
  <si>
    <t>use QASRSWL patient; take CBCT and make shifts.  After initial CBCT take a second CBCT</t>
  </si>
  <si>
    <t>Shoot MV images in the order shown on the DATA worksheet</t>
  </si>
  <si>
    <t xml:space="preserve">Find the centroid of the radiation target ball in the contouring spreadsheet.  </t>
  </si>
  <si>
    <t>4a</t>
  </si>
  <si>
    <t>Make a high resolution structure</t>
  </si>
  <si>
    <t>4b</t>
  </si>
  <si>
    <t>4c</t>
  </si>
  <si>
    <t>Set the "apply area" around the ball pretty tight</t>
  </si>
  <si>
    <t>Use thresholding contouring; for cermaic ball use threshold of 1000-7000, for tungsten ball use 6000-7000 threshold</t>
  </si>
  <si>
    <t>4d</t>
  </si>
  <si>
    <t>Use centroid report tool in eclipse to find center of ball and origin of acquired image; Make sure to use the correct image, the tool will usually report the data from the first CBCT, and you want data from the last (probably)</t>
  </si>
  <si>
    <t>In Analysis worksheet go to the data menu in excel and select solver.  If Solver is not installed, install it.  Press the solve button.</t>
  </si>
  <si>
    <t>If everything has gone well the report worksheet should contain the results of the analysis</t>
  </si>
  <si>
    <t>Instance (slice) UID</t>
  </si>
  <si>
    <t>Series UID</t>
  </si>
  <si>
    <t>TB3</t>
  </si>
  <si>
    <t>CBCT - Gantry Iso X (mm)</t>
  </si>
  <si>
    <t>CBCT - Gantry Iso Y (mm)</t>
  </si>
  <si>
    <t>CBCT - Gantry Iso Z (mm)</t>
  </si>
  <si>
    <t>Table - Gantry Iso X (mm)</t>
  </si>
  <si>
    <t>Table - Gantry Iso Z (mm)</t>
  </si>
  <si>
    <t>Gantry Flex (mm)</t>
  </si>
  <si>
    <t>Col-Gantry misalignment (mm)</t>
  </si>
  <si>
    <t>MLC offset (mm)</t>
  </si>
  <si>
    <t>Collimator</t>
  </si>
  <si>
    <t>Table Isocentricity (mm)</t>
  </si>
  <si>
    <t>Gantry Isocentricity (mm)</t>
  </si>
  <si>
    <t>Collimator Isocentricity (mm)</t>
  </si>
  <si>
    <t>Gantry Isocentricity</t>
  </si>
  <si>
    <r>
      <rPr>
        <sz val="11"/>
        <color theme="1"/>
        <rFont val="Aptos Narrow"/>
        <family val="2"/>
      </rPr>
      <t>Δ</t>
    </r>
    <r>
      <rPr>
        <sz val="9.35"/>
        <color theme="1"/>
        <rFont val="Calibri"/>
        <family val="2"/>
      </rPr>
      <t>X</t>
    </r>
  </si>
  <si>
    <t>ΔY</t>
  </si>
  <si>
    <t>ΔZ</t>
  </si>
  <si>
    <t>Solve for smallest max (Couch Isocentricity)</t>
  </si>
  <si>
    <t>CA-X''</t>
  </si>
  <si>
    <t>CA-Z''</t>
  </si>
  <si>
    <t>CA-R''^2</t>
  </si>
  <si>
    <t>Max square of CA displacement   -&gt;</t>
  </si>
  <si>
    <t>Solve for smallest max (Collimator Isocentricity)</t>
  </si>
  <si>
    <t>In the Collimator worksheet go to the data menu in excel and select solver.  Press the solve button.</t>
  </si>
  <si>
    <t>Patient Name</t>
  </si>
  <si>
    <t>Find center of ball in second CBCT (after move) and insert ball centroid and origin in A23-C24</t>
  </si>
  <si>
    <t>Copy the data from A1-Y17 area, the order of table, gantry and collimator must be maintained</t>
  </si>
  <si>
    <t>Go to the first sheet, labelled "SNCImport", save it as a CSV, and upload it into SunCHECK</t>
  </si>
  <si>
    <t>NA</t>
  </si>
  <si>
    <t>Data Date: NA</t>
  </si>
  <si>
    <t>Analysis Date: NA</t>
  </si>
  <si>
    <t>Winston-Lutz Field Data</t>
  </si>
  <si>
    <t>To re-calculate spreadsheet in Excel, use CTRL-ALT-SHIFT-F9 and then run the solver on each of the Analysis and Collimator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</si>
</sst>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35"/>
      <color theme="1"/>
      <name val="Calibri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2" fontId="0" fillId="3" borderId="2" xfId="0" applyNumberFormat="1" applyFill="1" applyBorder="1"/>
    <xf numFmtId="2" fontId="0" fillId="4" borderId="3" xfId="0" applyNumberFormat="1" applyFill="1" applyBorder="1"/>
    <xf numFmtId="2" fontId="0" fillId="4" borderId="4" xfId="0" applyNumberFormat="1" applyFill="1" applyBorder="1"/>
    <xf numFmtId="2" fontId="0" fillId="4" borderId="5" xfId="0" applyNumberFormat="1" applyFill="1" applyBorder="1"/>
    <xf numFmtId="2" fontId="0" fillId="4" borderId="6" xfId="0" applyNumberFormat="1" applyFill="1" applyBorder="1"/>
    <xf numFmtId="2" fontId="0" fillId="4" borderId="7" xfId="0" applyNumberFormat="1" applyFill="1" applyBorder="1"/>
    <xf numFmtId="2" fontId="0" fillId="4" borderId="8" xfId="0" applyNumberFormat="1" applyFill="1" applyBorder="1"/>
    <xf numFmtId="2" fontId="0" fillId="4" borderId="9" xfId="0" applyNumberFormat="1" applyFill="1" applyBorder="1"/>
    <xf numFmtId="2" fontId="0" fillId="4" borderId="10" xfId="0" applyNumberFormat="1" applyFill="1" applyBorder="1"/>
    <xf numFmtId="0" fontId="0" fillId="4" borderId="0" xfId="0" quotePrefix="1" applyFill="1"/>
    <xf numFmtId="0" fontId="0" fillId="0" borderId="3" xfId="0" applyBorder="1"/>
    <xf numFmtId="0" fontId="0" fillId="0" borderId="1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5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5" borderId="0" xfId="0" applyFill="1" applyProtection="1">
      <protection locked="0"/>
    </xf>
    <xf numFmtId="0" fontId="0" fillId="5" borderId="1" xfId="0" applyFill="1" applyBorder="1" applyProtection="1">
      <protection locked="0"/>
    </xf>
    <xf numFmtId="2" fontId="0" fillId="2" borderId="0" xfId="0" applyNumberFormat="1" applyFill="1" applyProtection="1">
      <protection locked="0"/>
    </xf>
    <xf numFmtId="0" fontId="5" fillId="0" borderId="0" xfId="0" applyFont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MLC</a:t>
            </a:r>
            <a:r>
              <a:rPr lang="en-US" baseline="0"/>
              <a:t> Wobble about Collimator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Analysis!$Q$3:$Q$11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Analysis!$R$3:$R$11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9-459A-9D8D-3FAB692F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246656"/>
        <c:axId val="370245672"/>
      </c:scatterChart>
      <c:valAx>
        <c:axId val="370246656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5672"/>
        <c:crosses val="autoZero"/>
        <c:crossBetween val="midCat"/>
      </c:valAx>
      <c:valAx>
        <c:axId val="370245672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</a:t>
            </a:r>
            <a:r>
              <a:rPr lang="en-US" baseline="0"/>
              <a:t> Wobble about Table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Analysis!$K$13</c:f>
              <c:strCache>
                <c:ptCount val="1"/>
                <c:pt idx="0">
                  <c:v>BB-Z'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Analysis!$P$14:$P$20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Analysis!$Q$14:$Q$20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E-426E-8FA0-A8F918C9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253408"/>
        <c:axId val="764257344"/>
      </c:scatterChart>
      <c:valAx>
        <c:axId val="764253408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7344"/>
        <c:crosses val="autoZero"/>
        <c:crossBetween val="midCat"/>
      </c:valAx>
      <c:valAx>
        <c:axId val="764257344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190499</xdr:rowOff>
    </xdr:from>
    <xdr:to>
      <xdr:col>5</xdr:col>
      <xdr:colOff>19049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48C7C-57B9-481D-AAF7-CAFD19465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9524</xdr:colOff>
      <xdr:row>5</xdr:row>
      <xdr:rowOff>1680</xdr:rowOff>
    </xdr:from>
    <xdr:to>
      <xdr:col>10</xdr:col>
      <xdr:colOff>883023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28A91-DAB6-481C-9572-A7F8D210E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77F-D905-495E-A65E-9EC6EA2BB2E5}">
  <sheetPr codeName="Sheet1"/>
  <dimension ref="B2:C12"/>
  <sheetViews>
    <sheetView tabSelected="1" workbookViewId="0">
      <selection activeCell="L12" sqref="L12"/>
    </sheetView>
  </sheetViews>
  <sheetFormatPr defaultRowHeight="15" x14ac:dyDescent="0.25"/>
  <cols>
    <col min="2" max="2" width="21.5703125" customWidth="1"/>
    <col min="3" max="3" width="8.85546875" style="22"/>
  </cols>
  <sheetData>
    <row r="2" spans="2:3" x14ac:dyDescent="0.25">
      <c r="B2" s="33" t="s">
        <v>100</v>
      </c>
      <c r="C2" s="34" t="e">
        <f>Analysis!V3-Analysis!V$4</f>
        <v>#DIV/0!</v>
      </c>
    </row>
    <row r="3" spans="2:3" x14ac:dyDescent="0.25">
      <c r="B3" s="33" t="s">
        <v>101</v>
      </c>
      <c r="C3" s="34" t="e">
        <f>Analysis!W3-Analysis!W$4</f>
        <v>#DIV/0!</v>
      </c>
    </row>
    <row r="4" spans="2:3" x14ac:dyDescent="0.25">
      <c r="B4" s="33" t="s">
        <v>102</v>
      </c>
      <c r="C4" s="34" t="e">
        <f>Analysis!X3-Analysis!X$4</f>
        <v>#DIV/0!</v>
      </c>
    </row>
    <row r="5" spans="2:3" x14ac:dyDescent="0.25">
      <c r="B5" s="33" t="s">
        <v>103</v>
      </c>
      <c r="C5" s="34" t="e">
        <f>Analysis!V5-Analysis!V$4</f>
        <v>#DIV/0!</v>
      </c>
    </row>
    <row r="6" spans="2:3" x14ac:dyDescent="0.25">
      <c r="B6" s="33" t="s">
        <v>104</v>
      </c>
      <c r="C6" s="34" t="e">
        <f>Analysis!X5-Analysis!X$4</f>
        <v>#DIV/0!</v>
      </c>
    </row>
    <row r="7" spans="2:3" x14ac:dyDescent="0.25">
      <c r="B7" s="33" t="s">
        <v>105</v>
      </c>
      <c r="C7" s="34" t="str">
        <f>Analysis!O3</f>
        <v/>
      </c>
    </row>
    <row r="8" spans="2:3" x14ac:dyDescent="0.25">
      <c r="B8" s="33" t="s">
        <v>106</v>
      </c>
      <c r="C8" s="34" t="e">
        <f>Analysis!P3</f>
        <v>#DIV/0!</v>
      </c>
    </row>
    <row r="9" spans="2:3" x14ac:dyDescent="0.25">
      <c r="B9" s="33" t="s">
        <v>107</v>
      </c>
      <c r="C9" s="34" t="str">
        <f>Analysis!T1</f>
        <v/>
      </c>
    </row>
    <row r="10" spans="2:3" x14ac:dyDescent="0.25">
      <c r="B10" s="33" t="s">
        <v>109</v>
      </c>
      <c r="C10" s="34">
        <f>SQRT(Analysis!R12)</f>
        <v>0</v>
      </c>
    </row>
    <row r="11" spans="2:3" x14ac:dyDescent="0.25">
      <c r="B11" s="33" t="s">
        <v>110</v>
      </c>
      <c r="C11" s="34">
        <f>Analysis!O8</f>
        <v>0</v>
      </c>
    </row>
    <row r="12" spans="2:3" x14ac:dyDescent="0.25">
      <c r="B12" s="33" t="s">
        <v>111</v>
      </c>
      <c r="C12" s="34">
        <f>Collimator!L2</f>
        <v>0</v>
      </c>
    </row>
  </sheetData>
  <sheetProtection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workbookViewId="0">
      <selection activeCell="G21" sqref="G21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5" width="12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5" width="12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  <col min="23" max="23" width="24.85546875" bestFit="1" customWidth="1"/>
    <col min="24" max="25" width="56.5703125" bestFit="1" customWidth="1"/>
  </cols>
  <sheetData>
    <row r="1" spans="1:25" x14ac:dyDescent="0.25">
      <c r="A1" s="38" t="s">
        <v>130</v>
      </c>
      <c r="B1" s="38" t="s">
        <v>128</v>
      </c>
      <c r="C1" s="38" t="s">
        <v>129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x14ac:dyDescent="0.25">
      <c r="A2" s="38" t="s">
        <v>0</v>
      </c>
      <c r="B2" s="38" t="s">
        <v>1</v>
      </c>
      <c r="C2" s="38" t="s">
        <v>2</v>
      </c>
      <c r="D2" s="38" t="s">
        <v>5</v>
      </c>
      <c r="E2" s="38" t="s">
        <v>3</v>
      </c>
      <c r="F2" s="38" t="s">
        <v>4</v>
      </c>
      <c r="G2" s="38" t="s">
        <v>6</v>
      </c>
      <c r="H2" s="38" t="s">
        <v>7</v>
      </c>
      <c r="I2" s="38" t="s">
        <v>8</v>
      </c>
      <c r="J2" s="38" t="s">
        <v>9</v>
      </c>
      <c r="K2" s="38" t="s">
        <v>10</v>
      </c>
      <c r="L2" s="38" t="s">
        <v>11</v>
      </c>
      <c r="M2" s="38" t="s">
        <v>12</v>
      </c>
      <c r="N2" s="38" t="s">
        <v>13</v>
      </c>
      <c r="O2" s="38" t="s">
        <v>14</v>
      </c>
      <c r="P2" s="38" t="s">
        <v>15</v>
      </c>
      <c r="Q2" s="38" t="s">
        <v>16</v>
      </c>
      <c r="R2" s="38" t="s">
        <v>17</v>
      </c>
      <c r="S2" s="38" t="s">
        <v>18</v>
      </c>
      <c r="T2" s="38" t="s">
        <v>19</v>
      </c>
      <c r="U2" s="38" t="s">
        <v>20</v>
      </c>
      <c r="V2" s="38" t="s">
        <v>21</v>
      </c>
      <c r="W2" s="38" t="s">
        <v>123</v>
      </c>
      <c r="X2" s="38" t="s">
        <v>97</v>
      </c>
      <c r="Y2" s="38" t="s">
        <v>98</v>
      </c>
    </row>
    <row r="3" spans="1:25" x14ac:dyDescent="0.25">
      <c r="A3" s="38" t="s">
        <v>127</v>
      </c>
      <c r="B3" s="38" t="s">
        <v>127</v>
      </c>
      <c r="C3" s="38" t="s">
        <v>127</v>
      </c>
      <c r="D3" s="38">
        <v>-1</v>
      </c>
      <c r="E3" s="38">
        <v>-1</v>
      </c>
      <c r="F3" s="38">
        <v>-1</v>
      </c>
      <c r="G3" s="38">
        <v>-1</v>
      </c>
      <c r="H3" s="38">
        <v>-1</v>
      </c>
      <c r="I3" s="38">
        <v>-1</v>
      </c>
      <c r="J3" s="38">
        <v>-1</v>
      </c>
      <c r="K3" s="38">
        <v>-1</v>
      </c>
      <c r="L3" s="38">
        <v>-1</v>
      </c>
      <c r="M3" s="38">
        <v>-1</v>
      </c>
      <c r="N3" s="38">
        <v>-1</v>
      </c>
      <c r="O3" s="38">
        <v>-1</v>
      </c>
      <c r="P3" s="38">
        <v>-1</v>
      </c>
      <c r="Q3" s="38">
        <v>-1</v>
      </c>
      <c r="R3" s="38">
        <v>-1</v>
      </c>
      <c r="S3" s="38">
        <v>-1</v>
      </c>
      <c r="T3" s="38">
        <v>-1</v>
      </c>
      <c r="U3" s="38">
        <v>-1</v>
      </c>
      <c r="V3" s="38" t="s">
        <v>127</v>
      </c>
      <c r="W3" s="38" t="s">
        <v>127</v>
      </c>
      <c r="X3" s="38" t="s">
        <v>127</v>
      </c>
      <c r="Y3" s="38" t="s">
        <v>127</v>
      </c>
    </row>
    <row r="4" spans="1:25" x14ac:dyDescent="0.25">
      <c r="A4" s="38" t="s">
        <v>127</v>
      </c>
      <c r="B4" s="38" t="s">
        <v>127</v>
      </c>
      <c r="C4" s="38" t="s">
        <v>127</v>
      </c>
      <c r="D4" s="38">
        <v>-1</v>
      </c>
      <c r="E4" s="38">
        <v>-1</v>
      </c>
      <c r="F4" s="38">
        <v>-1</v>
      </c>
      <c r="G4" s="38">
        <v>-1</v>
      </c>
      <c r="H4" s="38">
        <v>-1</v>
      </c>
      <c r="I4" s="38">
        <v>-1</v>
      </c>
      <c r="J4" s="38">
        <v>-1</v>
      </c>
      <c r="K4" s="38">
        <v>-1</v>
      </c>
      <c r="L4" s="38">
        <v>-1</v>
      </c>
      <c r="M4" s="38">
        <v>-1</v>
      </c>
      <c r="N4" s="38">
        <v>-1</v>
      </c>
      <c r="O4" s="38">
        <v>-1</v>
      </c>
      <c r="P4" s="38">
        <v>-1</v>
      </c>
      <c r="Q4" s="38">
        <v>-1</v>
      </c>
      <c r="R4" s="38">
        <v>-1</v>
      </c>
      <c r="S4" s="38">
        <v>-1</v>
      </c>
      <c r="T4" s="38">
        <v>-1</v>
      </c>
      <c r="U4" s="38">
        <v>-1</v>
      </c>
      <c r="V4" s="38" t="s">
        <v>127</v>
      </c>
      <c r="W4" s="38" t="s">
        <v>127</v>
      </c>
      <c r="X4" s="38" t="s">
        <v>127</v>
      </c>
      <c r="Y4" s="38" t="s">
        <v>127</v>
      </c>
    </row>
    <row r="5" spans="1:25" x14ac:dyDescent="0.25">
      <c r="A5" s="38" t="s">
        <v>127</v>
      </c>
      <c r="B5" s="38" t="s">
        <v>127</v>
      </c>
      <c r="C5" s="38" t="s">
        <v>127</v>
      </c>
      <c r="D5" s="38">
        <v>-1</v>
      </c>
      <c r="E5" s="38">
        <v>-1</v>
      </c>
      <c r="F5" s="38">
        <v>-1</v>
      </c>
      <c r="G5" s="38">
        <v>-1</v>
      </c>
      <c r="H5" s="38">
        <v>-1</v>
      </c>
      <c r="I5" s="38">
        <v>-1</v>
      </c>
      <c r="J5" s="38">
        <v>-1</v>
      </c>
      <c r="K5" s="38">
        <v>-1</v>
      </c>
      <c r="L5" s="38">
        <v>-1</v>
      </c>
      <c r="M5" s="38">
        <v>-1</v>
      </c>
      <c r="N5" s="38">
        <v>-1</v>
      </c>
      <c r="O5" s="38">
        <v>-1</v>
      </c>
      <c r="P5" s="38">
        <v>-1</v>
      </c>
      <c r="Q5" s="38">
        <v>-1</v>
      </c>
      <c r="R5" s="38">
        <v>-1</v>
      </c>
      <c r="S5" s="38">
        <v>-1</v>
      </c>
      <c r="T5" s="38">
        <v>-1</v>
      </c>
      <c r="U5" s="38">
        <v>-1</v>
      </c>
      <c r="V5" s="38" t="s">
        <v>127</v>
      </c>
      <c r="W5" s="38" t="s">
        <v>127</v>
      </c>
      <c r="X5" s="38" t="s">
        <v>127</v>
      </c>
      <c r="Y5" s="38" t="s">
        <v>127</v>
      </c>
    </row>
    <row r="6" spans="1:25" x14ac:dyDescent="0.25">
      <c r="A6" s="38" t="s">
        <v>127</v>
      </c>
      <c r="B6" s="38" t="s">
        <v>127</v>
      </c>
      <c r="C6" s="38" t="s">
        <v>127</v>
      </c>
      <c r="D6" s="38">
        <v>-1</v>
      </c>
      <c r="E6" s="38">
        <v>-1</v>
      </c>
      <c r="F6" s="38">
        <v>-1</v>
      </c>
      <c r="G6" s="38">
        <v>-1</v>
      </c>
      <c r="H6" s="38">
        <v>-1</v>
      </c>
      <c r="I6" s="38">
        <v>-1</v>
      </c>
      <c r="J6" s="38">
        <v>-1</v>
      </c>
      <c r="K6" s="38">
        <v>-1</v>
      </c>
      <c r="L6" s="38">
        <v>-1</v>
      </c>
      <c r="M6" s="38">
        <v>-1</v>
      </c>
      <c r="N6" s="38">
        <v>-1</v>
      </c>
      <c r="O6" s="38">
        <v>-1</v>
      </c>
      <c r="P6" s="38">
        <v>-1</v>
      </c>
      <c r="Q6" s="38">
        <v>-1</v>
      </c>
      <c r="R6" s="38">
        <v>-1</v>
      </c>
      <c r="S6" s="38">
        <v>-1</v>
      </c>
      <c r="T6" s="38">
        <v>-1</v>
      </c>
      <c r="U6" s="38">
        <v>-1</v>
      </c>
      <c r="V6" s="38" t="s">
        <v>127</v>
      </c>
      <c r="W6" s="38" t="s">
        <v>127</v>
      </c>
      <c r="X6" s="38" t="s">
        <v>127</v>
      </c>
      <c r="Y6" s="38" t="s">
        <v>127</v>
      </c>
    </row>
    <row r="7" spans="1:25" x14ac:dyDescent="0.25">
      <c r="A7" s="38" t="s">
        <v>127</v>
      </c>
      <c r="B7" s="38" t="s">
        <v>127</v>
      </c>
      <c r="C7" s="38" t="s">
        <v>127</v>
      </c>
      <c r="D7" s="38">
        <v>-1</v>
      </c>
      <c r="E7" s="38">
        <v>-1</v>
      </c>
      <c r="F7" s="38">
        <v>-1</v>
      </c>
      <c r="G7" s="38">
        <v>-1</v>
      </c>
      <c r="H7" s="38">
        <v>-1</v>
      </c>
      <c r="I7" s="38">
        <v>-1</v>
      </c>
      <c r="J7" s="38">
        <v>-1</v>
      </c>
      <c r="K7" s="38">
        <v>-1</v>
      </c>
      <c r="L7" s="38">
        <v>-1</v>
      </c>
      <c r="M7" s="38">
        <v>-1</v>
      </c>
      <c r="N7" s="38">
        <v>-1</v>
      </c>
      <c r="O7" s="38">
        <v>-1</v>
      </c>
      <c r="P7" s="38">
        <v>-1</v>
      </c>
      <c r="Q7" s="38">
        <v>-1</v>
      </c>
      <c r="R7" s="38">
        <v>-1</v>
      </c>
      <c r="S7" s="38">
        <v>-1</v>
      </c>
      <c r="T7" s="38">
        <v>-1</v>
      </c>
      <c r="U7" s="38">
        <v>-1</v>
      </c>
      <c r="V7" s="38" t="s">
        <v>127</v>
      </c>
      <c r="W7" s="38" t="s">
        <v>127</v>
      </c>
      <c r="X7" s="38" t="s">
        <v>127</v>
      </c>
      <c r="Y7" s="38" t="s">
        <v>127</v>
      </c>
    </row>
    <row r="8" spans="1:25" x14ac:dyDescent="0.25">
      <c r="A8" s="38" t="s">
        <v>127</v>
      </c>
      <c r="B8" s="38" t="s">
        <v>127</v>
      </c>
      <c r="C8" s="38" t="s">
        <v>127</v>
      </c>
      <c r="D8" s="38">
        <v>-1</v>
      </c>
      <c r="E8" s="38">
        <v>-1</v>
      </c>
      <c r="F8" s="38">
        <v>-1</v>
      </c>
      <c r="G8" s="38">
        <v>-1</v>
      </c>
      <c r="H8" s="38">
        <v>-1</v>
      </c>
      <c r="I8" s="38">
        <v>-1</v>
      </c>
      <c r="J8" s="38">
        <v>-1</v>
      </c>
      <c r="K8" s="38">
        <v>-1</v>
      </c>
      <c r="L8" s="38">
        <v>-1</v>
      </c>
      <c r="M8" s="38">
        <v>-1</v>
      </c>
      <c r="N8" s="38">
        <v>-1</v>
      </c>
      <c r="O8" s="38">
        <v>-1</v>
      </c>
      <c r="P8" s="38">
        <v>-1</v>
      </c>
      <c r="Q8" s="38">
        <v>-1</v>
      </c>
      <c r="R8" s="38">
        <v>-1</v>
      </c>
      <c r="S8" s="38">
        <v>-1</v>
      </c>
      <c r="T8" s="38">
        <v>-1</v>
      </c>
      <c r="U8" s="38">
        <v>-1</v>
      </c>
      <c r="V8" s="38" t="s">
        <v>127</v>
      </c>
      <c r="W8" s="38" t="s">
        <v>127</v>
      </c>
      <c r="X8" s="38" t="s">
        <v>127</v>
      </c>
      <c r="Y8" s="38" t="s">
        <v>127</v>
      </c>
    </row>
    <row r="9" spans="1:25" x14ac:dyDescent="0.25">
      <c r="A9" s="38" t="s">
        <v>127</v>
      </c>
      <c r="B9" s="38" t="s">
        <v>127</v>
      </c>
      <c r="C9" s="38" t="s">
        <v>127</v>
      </c>
      <c r="D9" s="38">
        <v>-1</v>
      </c>
      <c r="E9" s="38">
        <v>-1</v>
      </c>
      <c r="F9" s="38">
        <v>-1</v>
      </c>
      <c r="G9" s="38">
        <v>-1</v>
      </c>
      <c r="H9" s="38">
        <v>-1</v>
      </c>
      <c r="I9" s="38">
        <v>-1</v>
      </c>
      <c r="J9" s="38">
        <v>-1</v>
      </c>
      <c r="K9" s="38">
        <v>-1</v>
      </c>
      <c r="L9" s="38">
        <v>-1</v>
      </c>
      <c r="M9" s="38">
        <v>-1</v>
      </c>
      <c r="N9" s="38">
        <v>-1</v>
      </c>
      <c r="O9" s="38">
        <v>-1</v>
      </c>
      <c r="P9" s="38">
        <v>-1</v>
      </c>
      <c r="Q9" s="38">
        <v>-1</v>
      </c>
      <c r="R9" s="38">
        <v>-1</v>
      </c>
      <c r="S9" s="38">
        <v>-1</v>
      </c>
      <c r="T9" s="38">
        <v>-1</v>
      </c>
      <c r="U9" s="38">
        <v>-1</v>
      </c>
      <c r="V9" s="38" t="s">
        <v>127</v>
      </c>
      <c r="W9" s="38" t="s">
        <v>127</v>
      </c>
      <c r="X9" s="38" t="s">
        <v>127</v>
      </c>
      <c r="Y9" s="38" t="s">
        <v>127</v>
      </c>
    </row>
    <row r="10" spans="1:25" x14ac:dyDescent="0.25">
      <c r="A10" s="38" t="s">
        <v>127</v>
      </c>
      <c r="B10" s="38" t="s">
        <v>127</v>
      </c>
      <c r="C10" s="38" t="s">
        <v>127</v>
      </c>
      <c r="D10" s="38">
        <v>-1</v>
      </c>
      <c r="E10" s="38">
        <v>-1</v>
      </c>
      <c r="F10" s="38">
        <v>-1</v>
      </c>
      <c r="G10" s="38">
        <v>-1</v>
      </c>
      <c r="H10" s="38">
        <v>-1</v>
      </c>
      <c r="I10" s="38">
        <v>-1</v>
      </c>
      <c r="J10" s="38">
        <v>-1</v>
      </c>
      <c r="K10" s="38">
        <v>-1</v>
      </c>
      <c r="L10" s="38">
        <v>-1</v>
      </c>
      <c r="M10" s="38">
        <v>-1</v>
      </c>
      <c r="N10" s="38">
        <v>-1</v>
      </c>
      <c r="O10" s="38">
        <v>-1</v>
      </c>
      <c r="P10" s="38">
        <v>-1</v>
      </c>
      <c r="Q10" s="38">
        <v>-1</v>
      </c>
      <c r="R10" s="38">
        <v>-1</v>
      </c>
      <c r="S10" s="38">
        <v>-1</v>
      </c>
      <c r="T10" s="38">
        <v>-1</v>
      </c>
      <c r="U10" s="38">
        <v>-1</v>
      </c>
      <c r="V10" s="38" t="s">
        <v>127</v>
      </c>
      <c r="W10" s="38" t="s">
        <v>127</v>
      </c>
      <c r="X10" s="38" t="s">
        <v>127</v>
      </c>
      <c r="Y10" s="38" t="s">
        <v>127</v>
      </c>
    </row>
    <row r="11" spans="1:25" x14ac:dyDescent="0.25">
      <c r="A11" s="38" t="s">
        <v>127</v>
      </c>
      <c r="B11" s="38" t="s">
        <v>127</v>
      </c>
      <c r="C11" s="38" t="s">
        <v>127</v>
      </c>
      <c r="D11" s="38">
        <v>-1</v>
      </c>
      <c r="E11" s="38">
        <v>-1</v>
      </c>
      <c r="F11" s="38">
        <v>-1</v>
      </c>
      <c r="G11" s="38">
        <v>-1</v>
      </c>
      <c r="H11" s="38">
        <v>-1</v>
      </c>
      <c r="I11" s="38">
        <v>-1</v>
      </c>
      <c r="J11" s="38">
        <v>-1</v>
      </c>
      <c r="K11" s="38">
        <v>-1</v>
      </c>
      <c r="L11" s="38">
        <v>-1</v>
      </c>
      <c r="M11" s="38">
        <v>-1</v>
      </c>
      <c r="N11" s="38">
        <v>-1</v>
      </c>
      <c r="O11" s="38">
        <v>-1</v>
      </c>
      <c r="P11" s="38">
        <v>-1</v>
      </c>
      <c r="Q11" s="38">
        <v>-1</v>
      </c>
      <c r="R11" s="38">
        <v>-1</v>
      </c>
      <c r="S11" s="38">
        <v>-1</v>
      </c>
      <c r="T11" s="38">
        <v>-1</v>
      </c>
      <c r="U11" s="38">
        <v>-1</v>
      </c>
      <c r="V11" s="38" t="s">
        <v>127</v>
      </c>
      <c r="W11" s="38" t="s">
        <v>127</v>
      </c>
      <c r="X11" s="38" t="s">
        <v>127</v>
      </c>
      <c r="Y11" s="38" t="s">
        <v>127</v>
      </c>
    </row>
    <row r="12" spans="1:25" x14ac:dyDescent="0.25">
      <c r="A12" s="38" t="s">
        <v>127</v>
      </c>
      <c r="B12" s="38" t="s">
        <v>127</v>
      </c>
      <c r="C12" s="38" t="s">
        <v>127</v>
      </c>
      <c r="D12" s="38">
        <v>-1</v>
      </c>
      <c r="E12" s="38">
        <v>-1</v>
      </c>
      <c r="F12" s="38">
        <v>-1</v>
      </c>
      <c r="G12" s="38">
        <v>-1</v>
      </c>
      <c r="H12" s="38">
        <v>-1</v>
      </c>
      <c r="I12" s="38">
        <v>-1</v>
      </c>
      <c r="J12" s="38">
        <v>-1</v>
      </c>
      <c r="K12" s="38">
        <v>-1</v>
      </c>
      <c r="L12" s="38">
        <v>-1</v>
      </c>
      <c r="M12" s="38">
        <v>-1</v>
      </c>
      <c r="N12" s="38">
        <v>-1</v>
      </c>
      <c r="O12" s="38">
        <v>-1</v>
      </c>
      <c r="P12" s="38">
        <v>-1</v>
      </c>
      <c r="Q12" s="38">
        <v>-1</v>
      </c>
      <c r="R12" s="38">
        <v>-1</v>
      </c>
      <c r="S12" s="38">
        <v>-1</v>
      </c>
      <c r="T12" s="38">
        <v>-1</v>
      </c>
      <c r="U12" s="38">
        <v>-1</v>
      </c>
      <c r="V12" s="38" t="s">
        <v>127</v>
      </c>
      <c r="W12" s="38" t="s">
        <v>127</v>
      </c>
      <c r="X12" s="38" t="s">
        <v>127</v>
      </c>
      <c r="Y12" s="38" t="s">
        <v>127</v>
      </c>
    </row>
    <row r="13" spans="1:25" x14ac:dyDescent="0.25">
      <c r="A13" s="38" t="s">
        <v>127</v>
      </c>
      <c r="B13" s="38" t="s">
        <v>127</v>
      </c>
      <c r="C13" s="38" t="s">
        <v>127</v>
      </c>
      <c r="D13" s="38">
        <v>-1</v>
      </c>
      <c r="E13" s="38">
        <v>-1</v>
      </c>
      <c r="F13" s="38">
        <v>-1</v>
      </c>
      <c r="G13" s="38">
        <v>-1</v>
      </c>
      <c r="H13" s="38">
        <v>-1</v>
      </c>
      <c r="I13" s="38">
        <v>-1</v>
      </c>
      <c r="J13" s="38">
        <v>-1</v>
      </c>
      <c r="K13" s="38">
        <v>-1</v>
      </c>
      <c r="L13" s="38">
        <v>-1</v>
      </c>
      <c r="M13" s="38">
        <v>-1</v>
      </c>
      <c r="N13" s="38">
        <v>-1</v>
      </c>
      <c r="O13" s="38">
        <v>-1</v>
      </c>
      <c r="P13" s="38">
        <v>-1</v>
      </c>
      <c r="Q13" s="38">
        <v>-1</v>
      </c>
      <c r="R13" s="38">
        <v>-1</v>
      </c>
      <c r="S13" s="38">
        <v>-1</v>
      </c>
      <c r="T13" s="38">
        <v>-1</v>
      </c>
      <c r="U13" s="38">
        <v>-1</v>
      </c>
      <c r="V13" s="38" t="s">
        <v>127</v>
      </c>
      <c r="W13" s="38" t="s">
        <v>127</v>
      </c>
      <c r="X13" s="38" t="s">
        <v>127</v>
      </c>
      <c r="Y13" s="38" t="s">
        <v>127</v>
      </c>
    </row>
    <row r="14" spans="1:25" x14ac:dyDescent="0.25">
      <c r="A14" s="38" t="s">
        <v>127</v>
      </c>
      <c r="B14" s="38" t="s">
        <v>127</v>
      </c>
      <c r="C14" s="38" t="s">
        <v>127</v>
      </c>
      <c r="D14" s="38">
        <v>-1</v>
      </c>
      <c r="E14" s="38">
        <v>-1</v>
      </c>
      <c r="F14" s="38">
        <v>-1</v>
      </c>
      <c r="G14" s="38">
        <v>-1</v>
      </c>
      <c r="H14" s="38">
        <v>-1</v>
      </c>
      <c r="I14" s="38">
        <v>-1</v>
      </c>
      <c r="J14" s="38">
        <v>-1</v>
      </c>
      <c r="K14" s="38">
        <v>-1</v>
      </c>
      <c r="L14" s="38">
        <v>-1</v>
      </c>
      <c r="M14" s="38">
        <v>-1</v>
      </c>
      <c r="N14" s="38">
        <v>-1</v>
      </c>
      <c r="O14" s="38">
        <v>-1</v>
      </c>
      <c r="P14" s="38">
        <v>-1</v>
      </c>
      <c r="Q14" s="38">
        <v>-1</v>
      </c>
      <c r="R14" s="38">
        <v>-1</v>
      </c>
      <c r="S14" s="38">
        <v>-1</v>
      </c>
      <c r="T14" s="38">
        <v>-1</v>
      </c>
      <c r="U14" s="38">
        <v>-1</v>
      </c>
      <c r="V14" s="38" t="s">
        <v>127</v>
      </c>
      <c r="W14" s="38" t="s">
        <v>127</v>
      </c>
      <c r="X14" s="38" t="s">
        <v>127</v>
      </c>
      <c r="Y14" s="38" t="s">
        <v>127</v>
      </c>
    </row>
    <row r="15" spans="1:25" x14ac:dyDescent="0.25">
      <c r="A15" s="38" t="s">
        <v>127</v>
      </c>
      <c r="B15" s="38" t="s">
        <v>127</v>
      </c>
      <c r="C15" s="38" t="s">
        <v>127</v>
      </c>
      <c r="D15" s="38">
        <v>-1</v>
      </c>
      <c r="E15" s="38">
        <v>-1</v>
      </c>
      <c r="F15" s="38">
        <v>-1</v>
      </c>
      <c r="G15" s="38">
        <v>-1</v>
      </c>
      <c r="H15" s="38">
        <v>-1</v>
      </c>
      <c r="I15" s="38">
        <v>-1</v>
      </c>
      <c r="J15" s="38">
        <v>-1</v>
      </c>
      <c r="K15" s="38">
        <v>-1</v>
      </c>
      <c r="L15" s="38">
        <v>-1</v>
      </c>
      <c r="M15" s="38">
        <v>-1</v>
      </c>
      <c r="N15" s="38">
        <v>-1</v>
      </c>
      <c r="O15" s="38">
        <v>-1</v>
      </c>
      <c r="P15" s="38">
        <v>-1</v>
      </c>
      <c r="Q15" s="38">
        <v>-1</v>
      </c>
      <c r="R15" s="38">
        <v>-1</v>
      </c>
      <c r="S15" s="38">
        <v>-1</v>
      </c>
      <c r="T15" s="38">
        <v>-1</v>
      </c>
      <c r="U15" s="38">
        <v>-1</v>
      </c>
      <c r="V15" s="38" t="s">
        <v>127</v>
      </c>
      <c r="W15" s="38" t="s">
        <v>127</v>
      </c>
      <c r="X15" s="38" t="s">
        <v>127</v>
      </c>
      <c r="Y15" s="38" t="s">
        <v>127</v>
      </c>
    </row>
    <row r="16" spans="1:25" x14ac:dyDescent="0.25">
      <c r="A16" s="38" t="s">
        <v>127</v>
      </c>
      <c r="B16" s="38" t="s">
        <v>127</v>
      </c>
      <c r="C16" s="38" t="s">
        <v>127</v>
      </c>
      <c r="D16" s="38">
        <v>-1</v>
      </c>
      <c r="E16" s="38">
        <v>-1</v>
      </c>
      <c r="F16" s="38">
        <v>-1</v>
      </c>
      <c r="G16" s="38">
        <v>-1</v>
      </c>
      <c r="H16" s="38">
        <v>-1</v>
      </c>
      <c r="I16" s="38">
        <v>-1</v>
      </c>
      <c r="J16" s="38">
        <v>-1</v>
      </c>
      <c r="K16" s="38">
        <v>-1</v>
      </c>
      <c r="L16" s="38">
        <v>-1</v>
      </c>
      <c r="M16" s="38">
        <v>-1</v>
      </c>
      <c r="N16" s="38">
        <v>-1</v>
      </c>
      <c r="O16" s="38">
        <v>-1</v>
      </c>
      <c r="P16" s="38">
        <v>-1</v>
      </c>
      <c r="Q16" s="38">
        <v>-1</v>
      </c>
      <c r="R16" s="38">
        <v>-1</v>
      </c>
      <c r="S16" s="38">
        <v>-1</v>
      </c>
      <c r="T16" s="38">
        <v>-1</v>
      </c>
      <c r="U16" s="38">
        <v>-1</v>
      </c>
      <c r="V16" s="38" t="s">
        <v>127</v>
      </c>
      <c r="W16" s="38" t="s">
        <v>127</v>
      </c>
      <c r="X16" s="38" t="s">
        <v>127</v>
      </c>
      <c r="Y16" s="38" t="s">
        <v>127</v>
      </c>
    </row>
    <row r="17" spans="1:25" x14ac:dyDescent="0.25">
      <c r="A17" s="38" t="s">
        <v>127</v>
      </c>
      <c r="B17" s="38" t="s">
        <v>127</v>
      </c>
      <c r="C17" s="38" t="s">
        <v>127</v>
      </c>
      <c r="D17" s="38">
        <v>-1</v>
      </c>
      <c r="E17" s="38">
        <v>-1</v>
      </c>
      <c r="F17" s="38">
        <v>-1</v>
      </c>
      <c r="G17" s="38">
        <v>-1</v>
      </c>
      <c r="H17" s="38">
        <v>-1</v>
      </c>
      <c r="I17" s="38">
        <v>-1</v>
      </c>
      <c r="J17" s="38">
        <v>-1</v>
      </c>
      <c r="K17" s="38">
        <v>-1</v>
      </c>
      <c r="L17" s="38">
        <v>-1</v>
      </c>
      <c r="M17" s="38">
        <v>-1</v>
      </c>
      <c r="N17" s="38">
        <v>-1</v>
      </c>
      <c r="O17" s="38">
        <v>-1</v>
      </c>
      <c r="P17" s="38">
        <v>-1</v>
      </c>
      <c r="Q17" s="38">
        <v>-1</v>
      </c>
      <c r="R17" s="38">
        <v>-1</v>
      </c>
      <c r="S17" s="38">
        <v>-1</v>
      </c>
      <c r="T17" s="38">
        <v>-1</v>
      </c>
      <c r="U17" s="38">
        <v>-1</v>
      </c>
      <c r="V17" s="38" t="s">
        <v>127</v>
      </c>
      <c r="W17" s="38" t="s">
        <v>127</v>
      </c>
      <c r="X17" s="38" t="s">
        <v>127</v>
      </c>
      <c r="Y17" s="38" t="s">
        <v>127</v>
      </c>
    </row>
    <row r="19" spans="1:25" x14ac:dyDescent="0.25">
      <c r="A19" t="s">
        <v>52</v>
      </c>
    </row>
    <row r="20" spans="1:25" x14ac:dyDescent="0.25">
      <c r="A20" t="s">
        <v>53</v>
      </c>
      <c r="B20" t="s">
        <v>54</v>
      </c>
      <c r="C20" t="s">
        <v>55</v>
      </c>
    </row>
    <row r="21" spans="1:25" ht="21" x14ac:dyDescent="0.35">
      <c r="A21">
        <f>10*(A24-A23)</f>
        <v>0</v>
      </c>
      <c r="B21">
        <f>10*(B24-B23)</f>
        <v>0</v>
      </c>
      <c r="C21">
        <f t="shared" ref="C21" si="0">10*(C24-C23)</f>
        <v>0</v>
      </c>
      <c r="G21" s="41" t="s">
        <v>131</v>
      </c>
    </row>
    <row r="23" spans="1:25" x14ac:dyDescent="0.25">
      <c r="A23" s="39">
        <v>0</v>
      </c>
      <c r="B23" s="39">
        <v>0</v>
      </c>
      <c r="C23" s="39">
        <v>0</v>
      </c>
      <c r="D23" t="s">
        <v>75</v>
      </c>
    </row>
    <row r="24" spans="1:25" x14ac:dyDescent="0.25">
      <c r="A24" s="39">
        <v>0</v>
      </c>
      <c r="B24" s="39">
        <v>0</v>
      </c>
      <c r="C24" s="39">
        <v>0</v>
      </c>
      <c r="D24" t="s">
        <v>76</v>
      </c>
    </row>
  </sheetData>
  <sheetProtection selectLockedCells="1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topLeftCell="D13" workbookViewId="0">
      <selection activeCell="J19" sqref="J19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4" width="11.7109375" bestFit="1" customWidth="1"/>
    <col min="5" max="5" width="9.42578125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4" width="12" bestFit="1" customWidth="1"/>
    <col min="15" max="15" width="11.7109375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</cols>
  <sheetData>
    <row r="1" spans="1:22" x14ac:dyDescent="0.25">
      <c r="A1" t="str">
        <f>Data!A1</f>
        <v>Winston-Lutz Field Data</v>
      </c>
      <c r="B1" t="str">
        <f>Data!B1</f>
        <v>Data Date: NA</v>
      </c>
      <c r="C1" t="str">
        <f>Data!C1</f>
        <v>Analysis Date: NA</v>
      </c>
    </row>
    <row r="2" spans="1:22" x14ac:dyDescent="0.25">
      <c r="A2" t="str">
        <f>Data!A2</f>
        <v>machine id</v>
      </c>
      <c r="B2" t="str">
        <f>Data!B2</f>
        <v>field name</v>
      </c>
      <c r="C2" t="str">
        <f>Data!C2</f>
        <v>status</v>
      </c>
      <c r="D2" t="str">
        <f>Data!E2</f>
        <v>gantry angle</v>
      </c>
      <c r="E2" t="str">
        <f>Data!F2</f>
        <v>coll angle</v>
      </c>
      <c r="F2" t="str">
        <f>Data!D2</f>
        <v>table yaw</v>
      </c>
      <c r="G2" t="str">
        <f>Data!G2</f>
        <v>X offset corrected box-ball</v>
      </c>
      <c r="H2" t="str">
        <f>Data!H2</f>
        <v>Y offset corrected box-ball</v>
      </c>
      <c r="I2" t="str">
        <f>Data!I2</f>
        <v>XY offset corrected</v>
      </c>
      <c r="J2" t="str">
        <f>Data!J2</f>
        <v>X box center corrected</v>
      </c>
      <c r="K2" t="str">
        <f>Data!K2</f>
        <v>Y box center corrected</v>
      </c>
      <c r="L2" t="str">
        <f>Data!L2</f>
        <v>X tongue and groove correction</v>
      </c>
      <c r="M2" t="str">
        <f>Data!M2</f>
        <v>Y tongue and groove correction</v>
      </c>
      <c r="N2" t="str">
        <f>Data!N2</f>
        <v>X ball center</v>
      </c>
      <c r="O2" t="str">
        <f>Data!O2</f>
        <v>Y ball center</v>
      </c>
      <c r="P2" t="str">
        <f>Data!P2</f>
        <v>box left uncorrected</v>
      </c>
      <c r="Q2" t="str">
        <f>Data!Q2</f>
        <v>box right uncorrected</v>
      </c>
      <c r="R2" t="str">
        <f>Data!R2</f>
        <v>box top uncorrected</v>
      </c>
      <c r="S2" t="str">
        <f>Data!S2</f>
        <v>box bottom uncorrected</v>
      </c>
      <c r="T2" t="str">
        <f>Data!T2</f>
        <v>X box center uncorrected</v>
      </c>
      <c r="U2" t="str">
        <f>Data!U2</f>
        <v>Y box center uncorrected</v>
      </c>
      <c r="V2" t="str">
        <f>Data!V2</f>
        <v>Patient ID</v>
      </c>
    </row>
    <row r="3" spans="1:22" x14ac:dyDescent="0.25">
      <c r="A3" t="str">
        <f>Data!A3</f>
        <v>NA</v>
      </c>
      <c r="B3" t="str">
        <f>Data!B3</f>
        <v>NA</v>
      </c>
      <c r="C3" t="str">
        <f>Data!C3</f>
        <v>NA</v>
      </c>
      <c r="D3" s="2">
        <f>IF(ROUND(Data!E3,0)=360,0,ROUND(Data!E3,0))</f>
        <v>-1</v>
      </c>
      <c r="E3" s="2">
        <f>IF(ROUND(Data!F3,0)=360,0,ROUND(Data!F3,0))</f>
        <v>-1</v>
      </c>
      <c r="F3" s="2">
        <f>IF(ROUND(Data!D3,0)=0,0,ROUND(360-Data!D3,0))</f>
        <v>361</v>
      </c>
      <c r="G3" s="1">
        <f>Data!G3</f>
        <v>-1</v>
      </c>
      <c r="H3" s="1">
        <f>Data!H3</f>
        <v>-1</v>
      </c>
      <c r="I3" s="1">
        <f>Data!I3</f>
        <v>-1</v>
      </c>
      <c r="J3" s="1">
        <f>Data!J3</f>
        <v>-1</v>
      </c>
      <c r="K3" s="1">
        <f>Data!K3</f>
        <v>-1</v>
      </c>
      <c r="L3" s="1">
        <f>Data!L3</f>
        <v>-1</v>
      </c>
      <c r="M3" s="1">
        <f>Data!M3</f>
        <v>-1</v>
      </c>
      <c r="N3" s="1">
        <f>Data!N3</f>
        <v>-1</v>
      </c>
      <c r="O3" s="1">
        <f>Data!O3</f>
        <v>-1</v>
      </c>
      <c r="P3" s="1">
        <f>Data!P3</f>
        <v>-1</v>
      </c>
      <c r="Q3" s="1">
        <f>Data!Q3</f>
        <v>-1</v>
      </c>
      <c r="R3" s="1">
        <f>Data!R3</f>
        <v>-1</v>
      </c>
      <c r="S3" s="1">
        <f>Data!S3</f>
        <v>-1</v>
      </c>
      <c r="T3" s="1">
        <f>Data!T3</f>
        <v>-1</v>
      </c>
      <c r="U3" s="1">
        <f>Data!U3</f>
        <v>-1</v>
      </c>
      <c r="V3" t="str">
        <f>Data!V3</f>
        <v>NA</v>
      </c>
    </row>
    <row r="4" spans="1:22" x14ac:dyDescent="0.25">
      <c r="A4" t="str">
        <f>Data!A4</f>
        <v>NA</v>
      </c>
      <c r="B4" t="str">
        <f>Data!B4</f>
        <v>NA</v>
      </c>
      <c r="C4" t="str">
        <f>Data!C4</f>
        <v>NA</v>
      </c>
      <c r="D4" s="2">
        <f>IF(ROUND(Data!E4,0)=360,0,ROUND(Data!E4,0))</f>
        <v>-1</v>
      </c>
      <c r="E4" s="2">
        <f>IF(ROUND(Data!F4,0)=360,0,ROUND(Data!F4,0))</f>
        <v>-1</v>
      </c>
      <c r="F4" s="2">
        <f>IF(ROUND(Data!D4,0)=0,0,ROUND(360-Data!D4,0))</f>
        <v>361</v>
      </c>
      <c r="G4" s="1">
        <f>Data!G4</f>
        <v>-1</v>
      </c>
      <c r="H4" s="1">
        <f>Data!H4</f>
        <v>-1</v>
      </c>
      <c r="I4" s="1">
        <f>Data!I4</f>
        <v>-1</v>
      </c>
      <c r="J4" s="1">
        <f>Data!J4</f>
        <v>-1</v>
      </c>
      <c r="K4" s="1">
        <f>Data!K4</f>
        <v>-1</v>
      </c>
      <c r="L4" s="1">
        <f>Data!L4</f>
        <v>-1</v>
      </c>
      <c r="M4" s="1">
        <f>Data!M4</f>
        <v>-1</v>
      </c>
      <c r="N4" s="1">
        <f>Data!N4</f>
        <v>-1</v>
      </c>
      <c r="O4" s="1">
        <f>Data!O4</f>
        <v>-1</v>
      </c>
      <c r="P4" s="1">
        <f>Data!P4</f>
        <v>-1</v>
      </c>
      <c r="Q4" s="1">
        <f>Data!Q4</f>
        <v>-1</v>
      </c>
      <c r="R4" s="1">
        <f>Data!R4</f>
        <v>-1</v>
      </c>
      <c r="S4" s="1">
        <f>Data!S4</f>
        <v>-1</v>
      </c>
      <c r="T4" s="1">
        <f>Data!T4</f>
        <v>-1</v>
      </c>
      <c r="U4" s="1">
        <f>Data!U4</f>
        <v>-1</v>
      </c>
      <c r="V4" t="str">
        <f>Data!V4</f>
        <v>NA</v>
      </c>
    </row>
    <row r="5" spans="1:22" x14ac:dyDescent="0.25">
      <c r="A5" t="str">
        <f>Data!A5</f>
        <v>NA</v>
      </c>
      <c r="B5" t="str">
        <f>Data!B5</f>
        <v>NA</v>
      </c>
      <c r="C5" t="str">
        <f>Data!C5</f>
        <v>NA</v>
      </c>
      <c r="D5" s="2">
        <f>IF(ROUND(Data!E5,0)=360,0,ROUND(Data!E5,0))</f>
        <v>-1</v>
      </c>
      <c r="E5" s="2">
        <f>IF(ROUND(Data!F5,0)=360,0,ROUND(Data!F5,0))</f>
        <v>-1</v>
      </c>
      <c r="F5" s="2">
        <f>IF(ROUND(Data!D5,0)=0,0,ROUND(360-Data!D5,0))</f>
        <v>361</v>
      </c>
      <c r="G5" s="1">
        <f>Data!G5</f>
        <v>-1</v>
      </c>
      <c r="H5" s="1">
        <f>Data!H5</f>
        <v>-1</v>
      </c>
      <c r="I5" s="1">
        <f>Data!I5</f>
        <v>-1</v>
      </c>
      <c r="J5" s="1">
        <f>Data!J5</f>
        <v>-1</v>
      </c>
      <c r="K5" s="1">
        <f>Data!K5</f>
        <v>-1</v>
      </c>
      <c r="L5" s="1">
        <f>Data!L5</f>
        <v>-1</v>
      </c>
      <c r="M5" s="1">
        <f>Data!M5</f>
        <v>-1</v>
      </c>
      <c r="N5" s="1">
        <f>Data!N5</f>
        <v>-1</v>
      </c>
      <c r="O5" s="1">
        <f>Data!O5</f>
        <v>-1</v>
      </c>
      <c r="P5" s="1">
        <f>Data!P5</f>
        <v>-1</v>
      </c>
      <c r="Q5" s="1">
        <f>Data!Q5</f>
        <v>-1</v>
      </c>
      <c r="R5" s="1">
        <f>Data!R5</f>
        <v>-1</v>
      </c>
      <c r="S5" s="1">
        <f>Data!S5</f>
        <v>-1</v>
      </c>
      <c r="T5" s="1">
        <f>Data!T5</f>
        <v>-1</v>
      </c>
      <c r="U5" s="1">
        <f>Data!U5</f>
        <v>-1</v>
      </c>
      <c r="V5" t="str">
        <f>Data!V5</f>
        <v>NA</v>
      </c>
    </row>
    <row r="6" spans="1:22" x14ac:dyDescent="0.25">
      <c r="A6" t="str">
        <f>Data!A6</f>
        <v>NA</v>
      </c>
      <c r="B6" t="str">
        <f>Data!B6</f>
        <v>NA</v>
      </c>
      <c r="C6" t="str">
        <f>Data!C6</f>
        <v>NA</v>
      </c>
      <c r="D6" s="2">
        <f>IF(ROUND(Data!E6,0)=360,0,ROUND(Data!E6,0))</f>
        <v>-1</v>
      </c>
      <c r="E6" s="2">
        <f>IF(ROUND(Data!F6,0)=360,0,ROUND(Data!F6,0))</f>
        <v>-1</v>
      </c>
      <c r="F6" s="2">
        <f>IF(ROUND(Data!D6,0)=0,0,ROUND(360-Data!D6,0))</f>
        <v>361</v>
      </c>
      <c r="G6" s="1">
        <f>Data!G6</f>
        <v>-1</v>
      </c>
      <c r="H6" s="1">
        <f>Data!H6</f>
        <v>-1</v>
      </c>
      <c r="I6" s="1">
        <f>Data!I6</f>
        <v>-1</v>
      </c>
      <c r="J6" s="1">
        <f>Data!J6</f>
        <v>-1</v>
      </c>
      <c r="K6" s="1">
        <f>Data!K6</f>
        <v>-1</v>
      </c>
      <c r="L6" s="1">
        <f>Data!L6</f>
        <v>-1</v>
      </c>
      <c r="M6" s="1">
        <f>Data!M6</f>
        <v>-1</v>
      </c>
      <c r="N6" s="1">
        <f>Data!N6</f>
        <v>-1</v>
      </c>
      <c r="O6" s="1">
        <f>Data!O6</f>
        <v>-1</v>
      </c>
      <c r="P6" s="1">
        <f>Data!P6</f>
        <v>-1</v>
      </c>
      <c r="Q6" s="1">
        <f>Data!Q6</f>
        <v>-1</v>
      </c>
      <c r="R6" s="1">
        <f>Data!R6</f>
        <v>-1</v>
      </c>
      <c r="S6" s="1">
        <f>Data!S6</f>
        <v>-1</v>
      </c>
      <c r="T6" s="1">
        <f>Data!T6</f>
        <v>-1</v>
      </c>
      <c r="U6" s="1">
        <f>Data!U6</f>
        <v>-1</v>
      </c>
      <c r="V6" t="str">
        <f>Data!V6</f>
        <v>NA</v>
      </c>
    </row>
    <row r="7" spans="1:22" x14ac:dyDescent="0.25">
      <c r="A7" t="str">
        <f>Data!A7</f>
        <v>NA</v>
      </c>
      <c r="B7" t="str">
        <f>Data!B7</f>
        <v>NA</v>
      </c>
      <c r="C7" t="str">
        <f>Data!C7</f>
        <v>NA</v>
      </c>
      <c r="D7" s="2">
        <f>IF(ROUND(Data!E7,0)=360,0,ROUND(Data!E7,0))</f>
        <v>-1</v>
      </c>
      <c r="E7" s="2">
        <f>IF(ROUND(Data!F7,0)=360,0,ROUND(Data!F7,0))</f>
        <v>-1</v>
      </c>
      <c r="F7" s="2">
        <f>IF(ROUND(Data!D7,0)=0,0,ROUND(360-Data!D7,0))</f>
        <v>361</v>
      </c>
      <c r="G7" s="1">
        <f>Data!G7</f>
        <v>-1</v>
      </c>
      <c r="H7" s="1">
        <f>Data!H7</f>
        <v>-1</v>
      </c>
      <c r="I7" s="1">
        <f>Data!I7</f>
        <v>-1</v>
      </c>
      <c r="J7" s="1">
        <f>Data!J7</f>
        <v>-1</v>
      </c>
      <c r="K7" s="1">
        <f>Data!K7</f>
        <v>-1</v>
      </c>
      <c r="L7" s="1">
        <f>Data!L7</f>
        <v>-1</v>
      </c>
      <c r="M7" s="1">
        <f>Data!M7</f>
        <v>-1</v>
      </c>
      <c r="N7" s="1">
        <f>Data!N7</f>
        <v>-1</v>
      </c>
      <c r="O7" s="1">
        <f>Data!O7</f>
        <v>-1</v>
      </c>
      <c r="P7" s="1">
        <f>Data!P7</f>
        <v>-1</v>
      </c>
      <c r="Q7" s="1">
        <f>Data!Q7</f>
        <v>-1</v>
      </c>
      <c r="R7" s="1">
        <f>Data!R7</f>
        <v>-1</v>
      </c>
      <c r="S7" s="1">
        <f>Data!S7</f>
        <v>-1</v>
      </c>
      <c r="T7" s="1">
        <f>Data!T7</f>
        <v>-1</v>
      </c>
      <c r="U7" s="1">
        <f>Data!U7</f>
        <v>-1</v>
      </c>
      <c r="V7" t="str">
        <f>Data!V7</f>
        <v>NA</v>
      </c>
    </row>
    <row r="8" spans="1:22" x14ac:dyDescent="0.25">
      <c r="A8" t="str">
        <f>Data!A8</f>
        <v>NA</v>
      </c>
      <c r="B8" t="str">
        <f>Data!B8</f>
        <v>NA</v>
      </c>
      <c r="C8" t="str">
        <f>Data!C8</f>
        <v>NA</v>
      </c>
      <c r="D8" s="2">
        <f>IF(ROUND(Data!E8,0)=360,0,ROUND(Data!E8,0))</f>
        <v>-1</v>
      </c>
      <c r="E8" s="2">
        <f>IF(ROUND(Data!F8,0)=360,0,ROUND(Data!F8,0))</f>
        <v>-1</v>
      </c>
      <c r="F8" s="2">
        <f>IF(ROUND(Data!D8,0)=0,0,ROUND(360-Data!D8,0))</f>
        <v>361</v>
      </c>
      <c r="G8" s="1">
        <f>Data!G8</f>
        <v>-1</v>
      </c>
      <c r="H8" s="1">
        <f>Data!H8</f>
        <v>-1</v>
      </c>
      <c r="I8" s="1">
        <f>Data!I8</f>
        <v>-1</v>
      </c>
      <c r="J8" s="1">
        <f>Data!J8</f>
        <v>-1</v>
      </c>
      <c r="K8" s="1">
        <f>Data!K8</f>
        <v>-1</v>
      </c>
      <c r="L8" s="1">
        <f>Data!L8</f>
        <v>-1</v>
      </c>
      <c r="M8" s="1">
        <f>Data!M8</f>
        <v>-1</v>
      </c>
      <c r="N8" s="1">
        <f>Data!N8</f>
        <v>-1</v>
      </c>
      <c r="O8" s="1">
        <f>Data!O8</f>
        <v>-1</v>
      </c>
      <c r="P8" s="1">
        <f>Data!P8</f>
        <v>-1</v>
      </c>
      <c r="Q8" s="1">
        <f>Data!Q8</f>
        <v>-1</v>
      </c>
      <c r="R8" s="1">
        <f>Data!R8</f>
        <v>-1</v>
      </c>
      <c r="S8" s="1">
        <f>Data!S8</f>
        <v>-1</v>
      </c>
      <c r="T8" s="1">
        <f>Data!T8</f>
        <v>-1</v>
      </c>
      <c r="U8" s="1">
        <f>Data!U8</f>
        <v>-1</v>
      </c>
      <c r="V8" t="str">
        <f>Data!V8</f>
        <v>NA</v>
      </c>
    </row>
    <row r="9" spans="1:22" x14ac:dyDescent="0.25">
      <c r="A9" t="str">
        <f>Data!A9</f>
        <v>NA</v>
      </c>
      <c r="B9" t="str">
        <f>Data!B9</f>
        <v>NA</v>
      </c>
      <c r="C9" t="str">
        <f>Data!C9</f>
        <v>NA</v>
      </c>
      <c r="D9" s="2">
        <f>IF(ROUND(Data!E9,0)=360,0,ROUND(Data!E9,0))</f>
        <v>-1</v>
      </c>
      <c r="E9" s="2">
        <f>IF(ROUND(Data!F9,0)=360,0,ROUND(Data!F9,0))</f>
        <v>-1</v>
      </c>
      <c r="F9" s="2">
        <f>IF(ROUND(Data!D9,0)=0,0,ROUND(360-Data!D9,0))</f>
        <v>361</v>
      </c>
      <c r="G9" s="1">
        <f>Data!G9</f>
        <v>-1</v>
      </c>
      <c r="H9" s="1">
        <f>Data!H9</f>
        <v>-1</v>
      </c>
      <c r="I9" s="1">
        <f>Data!I9</f>
        <v>-1</v>
      </c>
      <c r="J9" s="1">
        <f>Data!J9</f>
        <v>-1</v>
      </c>
      <c r="K9" s="1">
        <f>Data!K9</f>
        <v>-1</v>
      </c>
      <c r="L9" s="1">
        <f>Data!L9</f>
        <v>-1</v>
      </c>
      <c r="M9" s="1">
        <f>Data!M9</f>
        <v>-1</v>
      </c>
      <c r="N9" s="1">
        <f>Data!N9</f>
        <v>-1</v>
      </c>
      <c r="O9" s="1">
        <f>Data!O9</f>
        <v>-1</v>
      </c>
      <c r="P9" s="1">
        <f>Data!P9</f>
        <v>-1</v>
      </c>
      <c r="Q9" s="1">
        <f>Data!Q9</f>
        <v>-1</v>
      </c>
      <c r="R9" s="1">
        <f>Data!R9</f>
        <v>-1</v>
      </c>
      <c r="S9" s="1">
        <f>Data!S9</f>
        <v>-1</v>
      </c>
      <c r="T9" s="1">
        <f>Data!T9</f>
        <v>-1</v>
      </c>
      <c r="U9" s="1">
        <f>Data!U9</f>
        <v>-1</v>
      </c>
      <c r="V9" t="str">
        <f>Data!V9</f>
        <v>NA</v>
      </c>
    </row>
    <row r="10" spans="1:22" x14ac:dyDescent="0.25">
      <c r="A10" t="str">
        <f>Data!A10</f>
        <v>NA</v>
      </c>
      <c r="B10" t="str">
        <f>Data!B10</f>
        <v>NA</v>
      </c>
      <c r="C10" t="str">
        <f>Data!C10</f>
        <v>NA</v>
      </c>
      <c r="D10" s="2">
        <f>IF(ROUND(Data!E10,0)=360,0,ROUND(Data!E10,0))</f>
        <v>-1</v>
      </c>
      <c r="E10" s="2">
        <f>IF(ROUND(Data!F10,0)=360,0,ROUND(Data!F10,0))</f>
        <v>-1</v>
      </c>
      <c r="F10" s="2">
        <f>IF(ROUND(Data!D10,0)=0,0,ROUND(360-Data!D10,0))</f>
        <v>361</v>
      </c>
      <c r="G10" s="1">
        <f>Data!G10</f>
        <v>-1</v>
      </c>
      <c r="H10" s="1">
        <f>Data!H10</f>
        <v>-1</v>
      </c>
      <c r="I10" s="1">
        <f>Data!I10</f>
        <v>-1</v>
      </c>
      <c r="J10" s="1">
        <f>Data!J10</f>
        <v>-1</v>
      </c>
      <c r="K10" s="1">
        <f>Data!K10</f>
        <v>-1</v>
      </c>
      <c r="L10" s="1">
        <f>Data!L10</f>
        <v>-1</v>
      </c>
      <c r="M10" s="1">
        <f>Data!M10</f>
        <v>-1</v>
      </c>
      <c r="N10" s="1">
        <f>Data!N10</f>
        <v>-1</v>
      </c>
      <c r="O10" s="1">
        <f>Data!O10</f>
        <v>-1</v>
      </c>
      <c r="P10" s="1">
        <f>Data!P10</f>
        <v>-1</v>
      </c>
      <c r="Q10" s="1">
        <f>Data!Q10</f>
        <v>-1</v>
      </c>
      <c r="R10" s="1">
        <f>Data!R10</f>
        <v>-1</v>
      </c>
      <c r="S10" s="1">
        <f>Data!S10</f>
        <v>-1</v>
      </c>
      <c r="T10" s="1">
        <f>Data!T10</f>
        <v>-1</v>
      </c>
      <c r="U10" s="1">
        <f>Data!U10</f>
        <v>-1</v>
      </c>
      <c r="V10" t="str">
        <f>Data!V10</f>
        <v>NA</v>
      </c>
    </row>
    <row r="11" spans="1:22" x14ac:dyDescent="0.25">
      <c r="A11" t="str">
        <f>Data!A11</f>
        <v>NA</v>
      </c>
      <c r="B11" t="str">
        <f>Data!B11</f>
        <v>NA</v>
      </c>
      <c r="C11" t="str">
        <f>Data!C11</f>
        <v>NA</v>
      </c>
      <c r="D11" s="2">
        <f>IF(ROUND(Data!E11,0)=360,0,ROUND(Data!E11,0))</f>
        <v>-1</v>
      </c>
      <c r="E11" s="2">
        <f>IF(ROUND(Data!F11,0)=360,0,ROUND(Data!F11,0))</f>
        <v>-1</v>
      </c>
      <c r="F11" s="2">
        <f>IF(ROUND(Data!D11,0)=0,0,ROUND(360-Data!D11,0))</f>
        <v>361</v>
      </c>
      <c r="G11" s="1">
        <f>Data!G11</f>
        <v>-1</v>
      </c>
      <c r="H11" s="1">
        <f>Data!H11</f>
        <v>-1</v>
      </c>
      <c r="I11" s="1">
        <f>Data!I11</f>
        <v>-1</v>
      </c>
      <c r="J11" s="1">
        <f>Data!J11</f>
        <v>-1</v>
      </c>
      <c r="K11" s="1">
        <f>Data!K11</f>
        <v>-1</v>
      </c>
      <c r="L11" s="1">
        <f>Data!L11</f>
        <v>-1</v>
      </c>
      <c r="M11" s="1">
        <f>Data!M11</f>
        <v>-1</v>
      </c>
      <c r="N11" s="1">
        <f>Data!N11</f>
        <v>-1</v>
      </c>
      <c r="O11" s="1">
        <f>Data!O11</f>
        <v>-1</v>
      </c>
      <c r="P11" s="1">
        <f>Data!P11</f>
        <v>-1</v>
      </c>
      <c r="Q11" s="1">
        <f>Data!Q11</f>
        <v>-1</v>
      </c>
      <c r="R11" s="1">
        <f>Data!R11</f>
        <v>-1</v>
      </c>
      <c r="S11" s="1">
        <f>Data!S11</f>
        <v>-1</v>
      </c>
      <c r="T11" s="1">
        <f>Data!T11</f>
        <v>-1</v>
      </c>
      <c r="U11" s="1">
        <f>Data!U11</f>
        <v>-1</v>
      </c>
      <c r="V11" t="str">
        <f>Data!V11</f>
        <v>NA</v>
      </c>
    </row>
    <row r="12" spans="1:22" x14ac:dyDescent="0.25">
      <c r="A12" t="str">
        <f>Data!A12</f>
        <v>NA</v>
      </c>
      <c r="B12" t="str">
        <f>Data!B12</f>
        <v>NA</v>
      </c>
      <c r="C12" t="str">
        <f>Data!C12</f>
        <v>NA</v>
      </c>
      <c r="D12" s="2">
        <f>IF(ROUND(Data!E12,0)=360,0,ROUND(Data!E12,0))</f>
        <v>-1</v>
      </c>
      <c r="E12" s="2">
        <f>IF(ROUND(Data!F12,0)=360,0,ROUND(Data!F12,0))</f>
        <v>-1</v>
      </c>
      <c r="F12" s="2">
        <f>IF(ROUND(Data!D12,0)=0,0,ROUND(360-Data!D12,0))</f>
        <v>361</v>
      </c>
      <c r="G12" s="1">
        <f>Data!G12</f>
        <v>-1</v>
      </c>
      <c r="H12" s="1">
        <f>Data!H12</f>
        <v>-1</v>
      </c>
      <c r="I12" s="1">
        <f>Data!I12</f>
        <v>-1</v>
      </c>
      <c r="J12" s="1">
        <f>Data!J12</f>
        <v>-1</v>
      </c>
      <c r="K12" s="1">
        <f>Data!K12</f>
        <v>-1</v>
      </c>
      <c r="L12" s="1">
        <f>Data!L12</f>
        <v>-1</v>
      </c>
      <c r="M12" s="1">
        <f>Data!M12</f>
        <v>-1</v>
      </c>
      <c r="N12" s="1">
        <f>Data!N12</f>
        <v>-1</v>
      </c>
      <c r="O12" s="1">
        <f>Data!O12</f>
        <v>-1</v>
      </c>
      <c r="P12" s="1">
        <f>Data!P12</f>
        <v>-1</v>
      </c>
      <c r="Q12" s="1">
        <f>Data!Q12</f>
        <v>-1</v>
      </c>
      <c r="R12" s="1">
        <f>Data!R12</f>
        <v>-1</v>
      </c>
      <c r="S12" s="1">
        <f>Data!S12</f>
        <v>-1</v>
      </c>
      <c r="T12" s="1">
        <f>Data!T12</f>
        <v>-1</v>
      </c>
      <c r="U12" s="1">
        <f>Data!U12</f>
        <v>-1</v>
      </c>
      <c r="V12" t="str">
        <f>Data!V12</f>
        <v>NA</v>
      </c>
    </row>
    <row r="13" spans="1:22" x14ac:dyDescent="0.25">
      <c r="A13" t="str">
        <f>Data!A13</f>
        <v>NA</v>
      </c>
      <c r="B13" t="str">
        <f>Data!B13</f>
        <v>NA</v>
      </c>
      <c r="C13" t="str">
        <f>Data!C13</f>
        <v>NA</v>
      </c>
      <c r="D13" s="2">
        <f>IF(ROUND(Data!E13,0)=360,0,ROUND(Data!E13,0))</f>
        <v>-1</v>
      </c>
      <c r="E13" s="2">
        <f>IF(ROUND(Data!F13,0)=360,0,ROUND(Data!F13,0))</f>
        <v>-1</v>
      </c>
      <c r="F13" s="2">
        <f>IF(ROUND(Data!D13,0)=0,0,ROUND(360-Data!D13,0))</f>
        <v>361</v>
      </c>
      <c r="G13" s="1">
        <f>Data!G13</f>
        <v>-1</v>
      </c>
      <c r="H13" s="1">
        <f>Data!H13</f>
        <v>-1</v>
      </c>
      <c r="I13" s="1">
        <f>Data!I13</f>
        <v>-1</v>
      </c>
      <c r="J13" s="1">
        <f>Data!J13</f>
        <v>-1</v>
      </c>
      <c r="K13" s="1">
        <f>Data!K13</f>
        <v>-1</v>
      </c>
      <c r="L13" s="1">
        <f>Data!L13</f>
        <v>-1</v>
      </c>
      <c r="M13" s="1">
        <f>Data!M13</f>
        <v>-1</v>
      </c>
      <c r="N13" s="1">
        <f>Data!N13</f>
        <v>-1</v>
      </c>
      <c r="O13" s="1">
        <f>Data!O13</f>
        <v>-1</v>
      </c>
      <c r="P13" s="1">
        <f>Data!P13</f>
        <v>-1</v>
      </c>
      <c r="Q13" s="1">
        <f>Data!Q13</f>
        <v>-1</v>
      </c>
      <c r="R13" s="1">
        <f>Data!R13</f>
        <v>-1</v>
      </c>
      <c r="S13" s="1">
        <f>Data!S13</f>
        <v>-1</v>
      </c>
      <c r="T13" s="1">
        <f>Data!T13</f>
        <v>-1</v>
      </c>
      <c r="U13" s="1">
        <f>Data!U13</f>
        <v>-1</v>
      </c>
      <c r="V13" t="str">
        <f>Data!V13</f>
        <v>NA</v>
      </c>
    </row>
    <row r="14" spans="1:22" x14ac:dyDescent="0.25">
      <c r="A14" t="str">
        <f>Data!A14</f>
        <v>NA</v>
      </c>
      <c r="B14" t="str">
        <f>Data!B14</f>
        <v>NA</v>
      </c>
      <c r="C14" t="str">
        <f>Data!C14</f>
        <v>NA</v>
      </c>
      <c r="D14" s="2">
        <f>IF(ROUND(Data!E14,0)=360,0,ROUND(Data!E14,0))</f>
        <v>-1</v>
      </c>
      <c r="E14" s="2">
        <f>IF(ROUND(Data!F14,0)=360,0,ROUND(Data!F14,0))</f>
        <v>-1</v>
      </c>
      <c r="F14" s="2">
        <f>IF(ROUND(Data!D14,0)=0,0,ROUND(360-Data!D14,0))</f>
        <v>361</v>
      </c>
      <c r="G14" s="1">
        <f>Data!G14</f>
        <v>-1</v>
      </c>
      <c r="H14" s="1">
        <f>Data!H14</f>
        <v>-1</v>
      </c>
      <c r="I14" s="1">
        <f>Data!I14</f>
        <v>-1</v>
      </c>
      <c r="J14" s="1">
        <f>Data!J14</f>
        <v>-1</v>
      </c>
      <c r="K14" s="1">
        <f>Data!K14</f>
        <v>-1</v>
      </c>
      <c r="L14" s="1">
        <f>Data!L14</f>
        <v>-1</v>
      </c>
      <c r="M14" s="1">
        <f>Data!M14</f>
        <v>-1</v>
      </c>
      <c r="N14" s="1">
        <f>Data!N14</f>
        <v>-1</v>
      </c>
      <c r="O14" s="1">
        <f>Data!O14</f>
        <v>-1</v>
      </c>
      <c r="P14" s="1">
        <f>Data!P14</f>
        <v>-1</v>
      </c>
      <c r="Q14" s="1">
        <f>Data!Q14</f>
        <v>-1</v>
      </c>
      <c r="R14" s="1">
        <f>Data!R14</f>
        <v>-1</v>
      </c>
      <c r="S14" s="1">
        <f>Data!S14</f>
        <v>-1</v>
      </c>
      <c r="T14" s="1">
        <f>Data!T14</f>
        <v>-1</v>
      </c>
      <c r="U14" s="1">
        <f>Data!U14</f>
        <v>-1</v>
      </c>
      <c r="V14" t="str">
        <f>Data!V14</f>
        <v>NA</v>
      </c>
    </row>
    <row r="15" spans="1:22" x14ac:dyDescent="0.25">
      <c r="A15" t="str">
        <f>Data!A15</f>
        <v>NA</v>
      </c>
      <c r="B15" t="str">
        <f>Data!B15</f>
        <v>NA</v>
      </c>
      <c r="C15" t="str">
        <f>Data!C15</f>
        <v>NA</v>
      </c>
      <c r="D15" s="2">
        <f>IF(ROUND(Data!E15,0)=360,0,ROUND(Data!E15,0))</f>
        <v>-1</v>
      </c>
      <c r="E15" s="2">
        <f>IF(ROUND(Data!F15,0)=360,0,ROUND(Data!F15,0))</f>
        <v>-1</v>
      </c>
      <c r="F15" s="2">
        <f>IF(ROUND(Data!D15,0)=0,0,ROUND(360-Data!D15,0))</f>
        <v>361</v>
      </c>
      <c r="G15" s="1">
        <f>Data!G15</f>
        <v>-1</v>
      </c>
      <c r="H15" s="1">
        <f>Data!H15</f>
        <v>-1</v>
      </c>
      <c r="I15" s="1">
        <f>Data!I15</f>
        <v>-1</v>
      </c>
      <c r="J15" s="1">
        <f>Data!J15</f>
        <v>-1</v>
      </c>
      <c r="K15" s="1">
        <f>Data!K15</f>
        <v>-1</v>
      </c>
      <c r="L15" s="1">
        <f>Data!L15</f>
        <v>-1</v>
      </c>
      <c r="M15" s="1">
        <f>Data!M15</f>
        <v>-1</v>
      </c>
      <c r="N15" s="1">
        <f>Data!N15</f>
        <v>-1</v>
      </c>
      <c r="O15" s="1">
        <f>Data!O15</f>
        <v>-1</v>
      </c>
      <c r="P15" s="1">
        <f>Data!P15</f>
        <v>-1</v>
      </c>
      <c r="Q15" s="1">
        <f>Data!Q15</f>
        <v>-1</v>
      </c>
      <c r="R15" s="1">
        <f>Data!R15</f>
        <v>-1</v>
      </c>
      <c r="S15" s="1">
        <f>Data!S15</f>
        <v>-1</v>
      </c>
      <c r="T15" s="1">
        <f>Data!T15</f>
        <v>-1</v>
      </c>
      <c r="U15" s="1">
        <f>Data!U15</f>
        <v>-1</v>
      </c>
      <c r="V15" t="str">
        <f>Data!V15</f>
        <v>NA</v>
      </c>
    </row>
    <row r="16" spans="1:22" x14ac:dyDescent="0.25">
      <c r="A16" t="str">
        <f>Data!A16</f>
        <v>NA</v>
      </c>
      <c r="B16" t="str">
        <f>Data!B16</f>
        <v>NA</v>
      </c>
      <c r="C16" t="str">
        <f>Data!C16</f>
        <v>NA</v>
      </c>
      <c r="D16" s="2">
        <f>IF(ROUND(Data!E16,0)=360,0,ROUND(Data!E16,0))</f>
        <v>-1</v>
      </c>
      <c r="E16" s="2">
        <f>IF(ROUND(Data!F16,0)=360,0,ROUND(Data!F16,0))</f>
        <v>-1</v>
      </c>
      <c r="F16" s="2">
        <f>IF(ROUND(Data!D16,0)=0,0,ROUND(360-Data!D16,0))</f>
        <v>361</v>
      </c>
      <c r="G16" s="1">
        <f>Data!G16</f>
        <v>-1</v>
      </c>
      <c r="H16" s="1">
        <f>Data!H16</f>
        <v>-1</v>
      </c>
      <c r="I16" s="1">
        <f>Data!I16</f>
        <v>-1</v>
      </c>
      <c r="J16" s="1">
        <f>Data!J16</f>
        <v>-1</v>
      </c>
      <c r="K16" s="1">
        <f>Data!K16</f>
        <v>-1</v>
      </c>
      <c r="L16" s="1">
        <f>Data!L16</f>
        <v>-1</v>
      </c>
      <c r="M16" s="1">
        <f>Data!M16</f>
        <v>-1</v>
      </c>
      <c r="N16" s="1">
        <f>Data!N16</f>
        <v>-1</v>
      </c>
      <c r="O16" s="1">
        <f>Data!O16</f>
        <v>-1</v>
      </c>
      <c r="P16" s="1">
        <f>Data!P16</f>
        <v>-1</v>
      </c>
      <c r="Q16" s="1">
        <f>Data!Q16</f>
        <v>-1</v>
      </c>
      <c r="R16" s="1">
        <f>Data!R16</f>
        <v>-1</v>
      </c>
      <c r="S16" s="1">
        <f>Data!S16</f>
        <v>-1</v>
      </c>
      <c r="T16" s="1">
        <f>Data!T16</f>
        <v>-1</v>
      </c>
      <c r="U16" s="1">
        <f>Data!U16</f>
        <v>-1</v>
      </c>
      <c r="V16" t="str">
        <f>Data!V16</f>
        <v>NA</v>
      </c>
    </row>
    <row r="17" spans="1:22" x14ac:dyDescent="0.25">
      <c r="A17" t="str">
        <f>Data!A17</f>
        <v>NA</v>
      </c>
      <c r="B17" t="str">
        <f>Data!B17</f>
        <v>NA</v>
      </c>
      <c r="C17" t="str">
        <f>Data!C17</f>
        <v>NA</v>
      </c>
      <c r="D17" s="2">
        <f>IF(ROUND(Data!E17,0)=360,0,ROUND(Data!E17,0))</f>
        <v>-1</v>
      </c>
      <c r="E17" s="2">
        <f>IF(ROUND(Data!F17,0)=360,0,ROUND(Data!F17,0))</f>
        <v>-1</v>
      </c>
      <c r="F17" s="2">
        <f>IF(ROUND(Data!D17,0)=0,0,ROUND(360-Data!D17,0))</f>
        <v>361</v>
      </c>
      <c r="G17" s="1">
        <f>Data!G17</f>
        <v>-1</v>
      </c>
      <c r="H17" s="1">
        <f>Data!H17</f>
        <v>-1</v>
      </c>
      <c r="I17" s="1">
        <f>Data!I17</f>
        <v>-1</v>
      </c>
      <c r="J17" s="1">
        <f>Data!J17</f>
        <v>-1</v>
      </c>
      <c r="K17" s="1">
        <f>Data!K17</f>
        <v>-1</v>
      </c>
      <c r="L17" s="1">
        <f>Data!L17</f>
        <v>-1</v>
      </c>
      <c r="M17" s="1">
        <f>Data!M17</f>
        <v>-1</v>
      </c>
      <c r="N17" s="1">
        <f>Data!N17</f>
        <v>-1</v>
      </c>
      <c r="O17" s="1">
        <f>Data!O17</f>
        <v>-1</v>
      </c>
      <c r="P17" s="1">
        <f>Data!P17</f>
        <v>-1</v>
      </c>
      <c r="Q17" s="1">
        <f>Data!Q17</f>
        <v>-1</v>
      </c>
      <c r="R17" s="1">
        <f>Data!R17</f>
        <v>-1</v>
      </c>
      <c r="S17" s="1">
        <f>Data!S17</f>
        <v>-1</v>
      </c>
      <c r="T17" s="1">
        <f>Data!T17</f>
        <v>-1</v>
      </c>
      <c r="U17" s="1">
        <f>Data!U17</f>
        <v>-1</v>
      </c>
      <c r="V17" t="str">
        <f>Data!V17</f>
        <v>NA</v>
      </c>
    </row>
    <row r="19" spans="1:22" x14ac:dyDescent="0.25">
      <c r="A19" t="s">
        <v>27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22" x14ac:dyDescent="0.25">
      <c r="D20" cm="1">
        <f t="array" ref="D20:H34">_xlfn.SORTBY(D3:H17,F3:F17,1,D3:D17,1,E3:E17,1)</f>
        <v>-1</v>
      </c>
      <c r="E20">
        <v>-1</v>
      </c>
      <c r="F20">
        <v>361</v>
      </c>
      <c r="G20" s="1">
        <v>-1</v>
      </c>
      <c r="H20" s="1">
        <v>-1</v>
      </c>
    </row>
    <row r="21" spans="1:22" x14ac:dyDescent="0.25">
      <c r="D21">
        <v>-1</v>
      </c>
      <c r="E21">
        <v>-1</v>
      </c>
      <c r="F21">
        <v>361</v>
      </c>
      <c r="G21" s="1">
        <v>-1</v>
      </c>
      <c r="H21" s="1">
        <v>-1</v>
      </c>
    </row>
    <row r="22" spans="1:22" x14ac:dyDescent="0.25">
      <c r="D22">
        <v>-1</v>
      </c>
      <c r="E22">
        <v>-1</v>
      </c>
      <c r="F22">
        <v>361</v>
      </c>
      <c r="G22" s="1">
        <v>-1</v>
      </c>
      <c r="H22" s="1">
        <v>-1</v>
      </c>
    </row>
    <row r="23" spans="1:22" x14ac:dyDescent="0.25">
      <c r="D23">
        <v>-1</v>
      </c>
      <c r="E23">
        <v>-1</v>
      </c>
      <c r="F23">
        <v>361</v>
      </c>
      <c r="G23" s="1">
        <v>-1</v>
      </c>
      <c r="H23" s="1">
        <v>-1</v>
      </c>
    </row>
    <row r="24" spans="1:22" x14ac:dyDescent="0.25">
      <c r="D24">
        <v>-1</v>
      </c>
      <c r="E24">
        <v>-1</v>
      </c>
      <c r="F24">
        <v>361</v>
      </c>
      <c r="G24" s="1">
        <v>-1</v>
      </c>
      <c r="H24" s="1">
        <v>-1</v>
      </c>
    </row>
    <row r="25" spans="1:22" x14ac:dyDescent="0.25">
      <c r="D25">
        <v>-1</v>
      </c>
      <c r="E25">
        <v>-1</v>
      </c>
      <c r="F25">
        <v>361</v>
      </c>
      <c r="G25" s="1">
        <v>-1</v>
      </c>
      <c r="H25" s="1">
        <v>-1</v>
      </c>
    </row>
    <row r="26" spans="1:22" x14ac:dyDescent="0.25">
      <c r="D26">
        <v>-1</v>
      </c>
      <c r="E26">
        <v>-1</v>
      </c>
      <c r="F26">
        <v>361</v>
      </c>
      <c r="G26" s="1">
        <v>-1</v>
      </c>
      <c r="H26" s="1">
        <v>-1</v>
      </c>
    </row>
    <row r="27" spans="1:22" x14ac:dyDescent="0.25">
      <c r="D27">
        <v>-1</v>
      </c>
      <c r="E27">
        <v>-1</v>
      </c>
      <c r="F27">
        <v>361</v>
      </c>
      <c r="G27" s="1">
        <v>-1</v>
      </c>
      <c r="H27" s="1">
        <v>-1</v>
      </c>
    </row>
    <row r="28" spans="1:22" x14ac:dyDescent="0.25">
      <c r="D28">
        <v>-1</v>
      </c>
      <c r="E28">
        <v>-1</v>
      </c>
      <c r="F28">
        <v>361</v>
      </c>
      <c r="G28" s="1">
        <v>-1</v>
      </c>
      <c r="H28" s="1">
        <v>-1</v>
      </c>
    </row>
    <row r="29" spans="1:22" x14ac:dyDescent="0.25">
      <c r="D29">
        <v>-1</v>
      </c>
      <c r="E29">
        <v>-1</v>
      </c>
      <c r="F29">
        <v>361</v>
      </c>
      <c r="G29" s="1">
        <v>-1</v>
      </c>
      <c r="H29" s="1">
        <v>-1</v>
      </c>
    </row>
    <row r="30" spans="1:22" x14ac:dyDescent="0.25">
      <c r="D30">
        <v>-1</v>
      </c>
      <c r="E30">
        <v>-1</v>
      </c>
      <c r="F30">
        <v>361</v>
      </c>
      <c r="G30" s="1">
        <v>-1</v>
      </c>
      <c r="H30" s="1">
        <v>-1</v>
      </c>
    </row>
    <row r="31" spans="1:22" x14ac:dyDescent="0.25">
      <c r="D31">
        <v>-1</v>
      </c>
      <c r="E31">
        <v>-1</v>
      </c>
      <c r="F31">
        <v>361</v>
      </c>
      <c r="G31" s="1">
        <v>-1</v>
      </c>
      <c r="H31" s="1">
        <v>-1</v>
      </c>
    </row>
    <row r="32" spans="1:22" x14ac:dyDescent="0.25">
      <c r="D32">
        <v>-1</v>
      </c>
      <c r="E32">
        <v>-1</v>
      </c>
      <c r="F32">
        <v>361</v>
      </c>
      <c r="G32" s="1">
        <v>-1</v>
      </c>
      <c r="H32" s="1">
        <v>-1</v>
      </c>
    </row>
    <row r="33" spans="4:8" x14ac:dyDescent="0.25">
      <c r="D33">
        <v>-1</v>
      </c>
      <c r="E33">
        <v>-1</v>
      </c>
      <c r="F33">
        <v>361</v>
      </c>
      <c r="G33" s="1">
        <v>-1</v>
      </c>
      <c r="H33" s="1">
        <v>-1</v>
      </c>
    </row>
    <row r="34" spans="4:8" x14ac:dyDescent="0.25">
      <c r="D34">
        <v>-1</v>
      </c>
      <c r="E34">
        <v>-1</v>
      </c>
      <c r="F34">
        <v>361</v>
      </c>
      <c r="G34" s="1">
        <v>-1</v>
      </c>
      <c r="H34" s="1">
        <v>-1</v>
      </c>
    </row>
    <row r="35" spans="4:8" x14ac:dyDescent="0.25">
      <c r="D35" s="2"/>
    </row>
    <row r="36" spans="4:8" x14ac:dyDescent="0.25">
      <c r="D36" s="2"/>
    </row>
    <row r="37" spans="4:8" x14ac:dyDescent="0.25">
      <c r="D37" s="2"/>
    </row>
  </sheetData>
  <sheetProtection selectLockedCells="1"/>
  <sortState xmlns:xlrd2="http://schemas.microsoft.com/office/spreadsheetml/2017/richdata2" ref="D20:H34">
    <sortCondition ref="F20:F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="85" zoomScaleNormal="85" workbookViewId="0">
      <selection activeCell="I14" sqref="I14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24" x14ac:dyDescent="0.25">
      <c r="A1" t="s">
        <v>22</v>
      </c>
      <c r="S1" t="s">
        <v>66</v>
      </c>
      <c r="T1" t="str">
        <f>IF(OR(I3="",I8="",J5="",J10="",K3="",K5="",K8="",K10=""),"",T2)</f>
        <v/>
      </c>
    </row>
    <row r="2" spans="1:24" x14ac:dyDescent="0.25">
      <c r="A2" t="s">
        <v>24</v>
      </c>
      <c r="B2" t="s">
        <v>25</v>
      </c>
      <c r="C2" t="s">
        <v>26</v>
      </c>
      <c r="D2" t="s">
        <v>6</v>
      </c>
      <c r="E2" t="s">
        <v>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s="1" t="e">
        <f>S3-S4</f>
        <v>#VALUE!</v>
      </c>
      <c r="T2" s="1" t="e">
        <f>T3-T4</f>
        <v>#VALUE!</v>
      </c>
      <c r="V2" t="s">
        <v>62</v>
      </c>
      <c r="W2" t="s">
        <v>63</v>
      </c>
      <c r="X2" t="s">
        <v>64</v>
      </c>
    </row>
    <row r="3" spans="1:24" x14ac:dyDescent="0.25">
      <c r="A3">
        <f>Preprocess!D20</f>
        <v>-1</v>
      </c>
      <c r="B3">
        <f>Preprocess!E20</f>
        <v>-1</v>
      </c>
      <c r="C3">
        <v>0</v>
      </c>
      <c r="D3" s="1" t="str">
        <f>IF(AND($A3=0,$B3=90,$C3=0),Preprocess!G20,"")</f>
        <v/>
      </c>
      <c r="E3" s="1" t="str">
        <f>IF(AND($A3=0,$B3=90,$C3=0),Preprocess!H20,"")</f>
        <v/>
      </c>
      <c r="F3" s="1" t="str">
        <f>IF(D3="","",D3)</f>
        <v/>
      </c>
      <c r="G3" s="1"/>
      <c r="H3" s="1" t="str">
        <f>IF(E3="","",-E3)</f>
        <v/>
      </c>
      <c r="I3" s="1" t="str">
        <f>IF(OR(F3="",F4=""),"",0.5*(F3+F4))</f>
        <v/>
      </c>
      <c r="J3" s="1"/>
      <c r="K3" s="1" t="str">
        <f>IF(OR(H3="",H4=""),"",0.5*(H3+H4))</f>
        <v/>
      </c>
      <c r="L3" s="1" t="e">
        <f>AVERAGE(I3:I10)</f>
        <v>#DIV/0!</v>
      </c>
      <c r="M3" s="1" t="e">
        <f>AVERAGE(J3:J10)</f>
        <v>#DIV/0!</v>
      </c>
      <c r="N3" s="1" t="e">
        <f>AVERAGE(K3:K10)</f>
        <v>#DIV/0!</v>
      </c>
      <c r="O3" s="1" t="str">
        <f>IF(OR(K3="",K8=""),"",K3-K8)</f>
        <v/>
      </c>
      <c r="P3" s="1" t="e">
        <f>IF(OR(I3="",L3="",J5="",M3="",I8="",J10=""),"",AVERAGE(I3-L3,J5-M3,L3-I8,M3-J10))</f>
        <v>#DIV/0!</v>
      </c>
      <c r="Q3" s="1" t="e">
        <f>F3-I$3</f>
        <v>#VALUE!</v>
      </c>
      <c r="R3" s="1" t="e">
        <f>-(H3-K$3)</f>
        <v>#VALUE!</v>
      </c>
      <c r="S3" s="1" t="e">
        <f>AVERAGE(Q3,Q5,Q8,Q10)</f>
        <v>#VALUE!</v>
      </c>
      <c r="T3" s="1" t="e">
        <f>AVERAGE(R3,R5,R8,R10)</f>
        <v>#VALUE!</v>
      </c>
      <c r="U3" t="s">
        <v>60</v>
      </c>
      <c r="V3" s="1">
        <f>Analysis!A27</f>
        <v>0</v>
      </c>
      <c r="W3" s="1">
        <f>Analysis!B27</f>
        <v>0</v>
      </c>
      <c r="X3" s="1">
        <f>Analysis!C27</f>
        <v>0</v>
      </c>
    </row>
    <row r="4" spans="1:24" x14ac:dyDescent="0.25">
      <c r="A4">
        <f>Preprocess!D21</f>
        <v>-1</v>
      </c>
      <c r="B4">
        <f>Preprocess!E21</f>
        <v>-1</v>
      </c>
      <c r="C4">
        <f>Preprocess!F21</f>
        <v>361</v>
      </c>
      <c r="D4" s="1" t="str">
        <f>IF(AND($A4=0,$B4=270,$C4=0),Preprocess!G21,"")</f>
        <v/>
      </c>
      <c r="E4" s="1" t="str">
        <f>IF(AND($A4=0,$B4=270,$C4=0),Preprocess!H21,"")</f>
        <v/>
      </c>
      <c r="F4" s="1" t="str">
        <f>IF(D4="","",D4)</f>
        <v/>
      </c>
      <c r="G4" s="1"/>
      <c r="H4" s="1" t="str">
        <f t="shared" ref="H4:H11" si="0">IF(E4="","",-E4)</f>
        <v/>
      </c>
      <c r="I4" s="1"/>
      <c r="J4" s="1"/>
      <c r="K4" s="1"/>
      <c r="L4" s="1"/>
      <c r="M4" s="1"/>
      <c r="N4" s="1"/>
      <c r="O4" s="1"/>
      <c r="Q4" s="1" t="e">
        <f>F4-I$3</f>
        <v>#VALUE!</v>
      </c>
      <c r="R4" s="1" t="e">
        <f>-(H4-K$3)</f>
        <v>#VALUE!</v>
      </c>
      <c r="S4" s="1" t="e">
        <f>AVERAGE(Q4,Q6,Q9,Q11)</f>
        <v>#VALUE!</v>
      </c>
      <c r="T4" s="1" t="e">
        <f>AVERAGE(R4,R6,R9,R11)</f>
        <v>#VALUE!</v>
      </c>
      <c r="U4" t="s">
        <v>65</v>
      </c>
      <c r="V4" s="1" t="e">
        <f>Analysis!L3</f>
        <v>#DIV/0!</v>
      </c>
      <c r="W4" s="1" t="e">
        <f>Analysis!M3</f>
        <v>#DIV/0!</v>
      </c>
      <c r="X4" s="1" t="e">
        <f>Analysis!N3</f>
        <v>#DIV/0!</v>
      </c>
    </row>
    <row r="5" spans="1:24" x14ac:dyDescent="0.25">
      <c r="A5">
        <f>Preprocess!D22</f>
        <v>-1</v>
      </c>
      <c r="B5">
        <f>Preprocess!E22</f>
        <v>-1</v>
      </c>
      <c r="C5">
        <f>Preprocess!F22</f>
        <v>361</v>
      </c>
      <c r="D5" s="1" t="str">
        <f>IF(AND($A5=90,$B5=90,$C5=0),Preprocess!G22,"")</f>
        <v/>
      </c>
      <c r="E5" s="1" t="str">
        <f>IF(AND($A5=90,$B5=90,$C5=0),Preprocess!H22,"")</f>
        <v/>
      </c>
      <c r="F5" s="1"/>
      <c r="G5" s="1" t="str">
        <f>IF(D5="","",D5)</f>
        <v/>
      </c>
      <c r="H5" s="1" t="str">
        <f t="shared" si="0"/>
        <v/>
      </c>
      <c r="I5" s="1"/>
      <c r="J5" s="1" t="str">
        <f>IF(OR(G5="",G6=""),"",0.5*(G5+G6))</f>
        <v/>
      </c>
      <c r="K5" s="1" t="str">
        <f>IF(OR(H5="",H6=""),"",0.5*(H5+H6))</f>
        <v/>
      </c>
      <c r="L5" s="1"/>
      <c r="M5" s="1"/>
      <c r="N5" s="1"/>
      <c r="O5" s="34"/>
      <c r="P5" s="1"/>
      <c r="Q5" s="1" t="e">
        <f>G5-J$5</f>
        <v>#VALUE!</v>
      </c>
      <c r="R5" s="1" t="e">
        <f>-(H5-K$5)</f>
        <v>#VALUE!</v>
      </c>
      <c r="U5" t="s">
        <v>61</v>
      </c>
      <c r="V5" s="1">
        <f>Analysis!N14</f>
        <v>-1</v>
      </c>
      <c r="W5" s="1"/>
      <c r="X5" s="1">
        <f>Analysis!O14</f>
        <v>-1</v>
      </c>
    </row>
    <row r="6" spans="1:24" x14ac:dyDescent="0.25">
      <c r="A6">
        <f>Preprocess!D23</f>
        <v>-1</v>
      </c>
      <c r="B6">
        <f>Preprocess!E23</f>
        <v>-1</v>
      </c>
      <c r="C6">
        <f>Preprocess!F23</f>
        <v>361</v>
      </c>
      <c r="D6" s="1" t="str">
        <f>IF(AND($A6=90,$B6=270,$C6=0),Preprocess!G23,"")</f>
        <v/>
      </c>
      <c r="E6" s="1" t="str">
        <f>IF(AND($A6=90,$B6=270,$C6=0),Preprocess!H23,"")</f>
        <v/>
      </c>
      <c r="F6" s="1"/>
      <c r="G6" s="1" t="str">
        <f>IF(D6="","",D6)</f>
        <v/>
      </c>
      <c r="H6" s="1" t="str">
        <f t="shared" si="0"/>
        <v/>
      </c>
      <c r="I6" s="1"/>
      <c r="J6" s="1"/>
      <c r="K6" s="1"/>
      <c r="L6" s="1"/>
      <c r="M6" s="36" t="s">
        <v>113</v>
      </c>
      <c r="N6" s="34" t="s">
        <v>114</v>
      </c>
      <c r="O6" s="34" t="s">
        <v>115</v>
      </c>
      <c r="P6" s="1"/>
      <c r="Q6" s="1" t="e">
        <f>G6-J$5</f>
        <v>#VALUE!</v>
      </c>
      <c r="R6" s="1" t="e">
        <f>-(H6-K$5)</f>
        <v>#VALUE!</v>
      </c>
    </row>
    <row r="7" spans="1:24" ht="15.75" thickBot="1" x14ac:dyDescent="0.3">
      <c r="A7">
        <f>Preprocess!D24</f>
        <v>-1</v>
      </c>
      <c r="B7">
        <f>Preprocess!E24</f>
        <v>-1</v>
      </c>
      <c r="C7">
        <f>Preprocess!F24</f>
        <v>361</v>
      </c>
      <c r="D7" s="1" t="str">
        <f>IF(AND($A7=180,$B7=0,$C7=0),Preprocess!G24,"")</f>
        <v/>
      </c>
      <c r="E7" s="1" t="str">
        <f>IF(AND($A7=180,$B7=0,$C7=0),Preprocess!H24,"")</f>
        <v/>
      </c>
      <c r="F7" s="1" t="str">
        <f>IF(D7="","",-D7)</f>
        <v/>
      </c>
      <c r="G7" s="1"/>
      <c r="H7" s="1" t="str">
        <f t="shared" si="0"/>
        <v/>
      </c>
      <c r="I7" s="1"/>
      <c r="J7" s="1"/>
      <c r="K7" s="1"/>
      <c r="L7" s="1"/>
      <c r="M7" s="34">
        <f>MAX(I3:I11)-MIN(I3:I11)</f>
        <v>0</v>
      </c>
      <c r="N7" s="34">
        <f t="shared" ref="N7:O7" si="1">MAX(J3:J11)-MIN(J3:J11)</f>
        <v>0</v>
      </c>
      <c r="O7" s="34">
        <f t="shared" si="1"/>
        <v>0</v>
      </c>
      <c r="P7" s="1"/>
      <c r="Q7" s="1" t="e">
        <f>-(F7-I$8)</f>
        <v>#VALUE!</v>
      </c>
      <c r="R7" s="1" t="e">
        <f>-(H7-K$8)</f>
        <v>#VALUE!</v>
      </c>
    </row>
    <row r="8" spans="1:24" ht="15.75" thickBot="1" x14ac:dyDescent="0.3">
      <c r="A8">
        <f>Preprocess!D25</f>
        <v>-1</v>
      </c>
      <c r="B8">
        <f>Preprocess!E25</f>
        <v>-1</v>
      </c>
      <c r="C8">
        <f>Preprocess!F25</f>
        <v>361</v>
      </c>
      <c r="D8" s="1" t="str">
        <f>IF(AND($A8=180,$B8=90,$C8=0),Preprocess!G25,"")</f>
        <v/>
      </c>
      <c r="E8" s="1" t="str">
        <f>IF(AND($A8=180,$B8=90,$C8=0),Preprocess!H25,"")</f>
        <v/>
      </c>
      <c r="F8" s="1" t="str">
        <f>IF(D8="","",-D8)</f>
        <v/>
      </c>
      <c r="G8" s="1"/>
      <c r="H8" s="1" t="str">
        <f t="shared" si="0"/>
        <v/>
      </c>
      <c r="I8" s="1" t="str">
        <f>IF(OR(F8="",F9=""),"",0.5*(F8+F9))</f>
        <v/>
      </c>
      <c r="J8" s="1"/>
      <c r="K8" s="1" t="str">
        <f>IF(OR(H8="",H9=""),"",0.5*(H8+H9))</f>
        <v/>
      </c>
      <c r="L8" s="1"/>
      <c r="M8" s="1"/>
      <c r="N8" s="1"/>
      <c r="O8" s="35">
        <f>SQRT((M7)^2+(N7)^2+(O7)^2)/2</f>
        <v>0</v>
      </c>
      <c r="P8" t="s">
        <v>112</v>
      </c>
      <c r="Q8" s="1" t="e">
        <f>-(F8-I$8)</f>
        <v>#VALUE!</v>
      </c>
      <c r="R8" s="1" t="e">
        <f t="shared" ref="R8:R9" si="2">-(H8-K$8)</f>
        <v>#VALUE!</v>
      </c>
    </row>
    <row r="9" spans="1:24" x14ac:dyDescent="0.25">
      <c r="A9">
        <f>Preprocess!D26</f>
        <v>-1</v>
      </c>
      <c r="B9">
        <f>Preprocess!E26</f>
        <v>-1</v>
      </c>
      <c r="C9">
        <f>Preprocess!F26</f>
        <v>361</v>
      </c>
      <c r="D9" s="1" t="str">
        <f>IF(AND($A9=180,$B9=270,$C9=0),Preprocess!G26,"")</f>
        <v/>
      </c>
      <c r="E9" s="1" t="str">
        <f>IF(AND($A9=180,$B9=270,$C9=0),Preprocess!H26,"")</f>
        <v/>
      </c>
      <c r="F9" s="1" t="str">
        <f>IF(D9="","",-D9)</f>
        <v/>
      </c>
      <c r="G9" s="1"/>
      <c r="H9" s="1" t="str">
        <f t="shared" si="0"/>
        <v/>
      </c>
      <c r="I9" s="1"/>
      <c r="J9" s="1"/>
      <c r="K9" s="1"/>
      <c r="L9" s="1"/>
      <c r="M9" s="1"/>
      <c r="N9" s="1"/>
      <c r="O9" s="1"/>
      <c r="Q9" s="1" t="e">
        <f>-(F9-I$8)</f>
        <v>#VALUE!</v>
      </c>
      <c r="R9" s="1" t="e">
        <f t="shared" si="2"/>
        <v>#VALUE!</v>
      </c>
    </row>
    <row r="10" spans="1:24" x14ac:dyDescent="0.25">
      <c r="A10">
        <f>Preprocess!D27</f>
        <v>-1</v>
      </c>
      <c r="B10">
        <f>Preprocess!E27</f>
        <v>-1</v>
      </c>
      <c r="C10">
        <f>Preprocess!F27</f>
        <v>361</v>
      </c>
      <c r="D10" s="1" t="str">
        <f>IF(AND($A10=270,$B10=90,$C10=0),Preprocess!G27,"")</f>
        <v/>
      </c>
      <c r="E10" s="1" t="str">
        <f>IF(AND($A10=270,$B10=90,$C10=0),Preprocess!H27,"")</f>
        <v/>
      </c>
      <c r="F10" s="1"/>
      <c r="G10" s="1" t="str">
        <f>IF(D10="","",-D10)</f>
        <v/>
      </c>
      <c r="H10" s="1" t="str">
        <f t="shared" si="0"/>
        <v/>
      </c>
      <c r="I10" s="1"/>
      <c r="J10" s="1" t="str">
        <f>IF(OR(G10="",G11=""),"",0.5*(G10+G11))</f>
        <v/>
      </c>
      <c r="K10" s="1" t="str">
        <f>IF(OR(H10="",H11=""),"",0.5*(H10+H11))</f>
        <v/>
      </c>
      <c r="L10" s="1"/>
      <c r="M10" s="1"/>
      <c r="N10" s="1"/>
      <c r="O10" s="1"/>
      <c r="Q10" s="1" t="e">
        <f>-(G10-J$10)</f>
        <v>#VALUE!</v>
      </c>
      <c r="R10" s="1" t="e">
        <f>-(H10-K$10)</f>
        <v>#VALUE!</v>
      </c>
    </row>
    <row r="11" spans="1:24" ht="15.75" thickBot="1" x14ac:dyDescent="0.3">
      <c r="A11">
        <f>Preprocess!D28</f>
        <v>-1</v>
      </c>
      <c r="B11">
        <f>Preprocess!E28</f>
        <v>-1</v>
      </c>
      <c r="C11">
        <f>Preprocess!F28</f>
        <v>361</v>
      </c>
      <c r="D11" s="1" t="str">
        <f>IF(AND($A11=270,$B11=270,$C11=0),Preprocess!G28,"")</f>
        <v/>
      </c>
      <c r="E11" s="1" t="str">
        <f>IF(AND($A11=270,$B11=270,$C11=0),Preprocess!H28,"")</f>
        <v/>
      </c>
      <c r="F11" s="1"/>
      <c r="G11" s="1" t="str">
        <f>IF(D11="","",-D11)</f>
        <v/>
      </c>
      <c r="H11" s="1" t="str">
        <f t="shared" si="0"/>
        <v/>
      </c>
      <c r="I11" s="1"/>
      <c r="J11" s="1"/>
      <c r="K11" s="1"/>
      <c r="L11" s="1"/>
      <c r="M11" s="1"/>
      <c r="N11" s="1"/>
      <c r="O11" s="1"/>
      <c r="Q11" s="1" t="e">
        <f>-(G11-J$10)</f>
        <v>#VALUE!</v>
      </c>
      <c r="R11" s="1" t="e">
        <f>-(H11-K$10)</f>
        <v>#VALUE!</v>
      </c>
    </row>
    <row r="12" spans="1:24" ht="15.75" thickBot="1" x14ac:dyDescent="0.3">
      <c r="K12" s="1" t="e">
        <f>MAX(MAX(J14:J19)-MIN(J14:J19),MAX(K14:K19)-MIN(K14:K19))</f>
        <v>#VALUE!</v>
      </c>
      <c r="O12" s="46" t="s">
        <v>83</v>
      </c>
      <c r="P12" s="46"/>
      <c r="Q12" s="13" t="s">
        <v>79</v>
      </c>
      <c r="R12" s="4">
        <f>MAX(R14:R20)</f>
        <v>0</v>
      </c>
      <c r="S12" t="s">
        <v>116</v>
      </c>
    </row>
    <row r="13" spans="1:24" ht="15.75" thickBot="1" x14ac:dyDescent="0.3">
      <c r="A13" t="s">
        <v>23</v>
      </c>
      <c r="F13" t="s">
        <v>28</v>
      </c>
      <c r="G13" t="s">
        <v>30</v>
      </c>
      <c r="H13" t="s">
        <v>41</v>
      </c>
      <c r="I13" t="s">
        <v>42</v>
      </c>
      <c r="J13" t="s">
        <v>45</v>
      </c>
      <c r="K13" t="s">
        <v>46</v>
      </c>
      <c r="L13" t="s">
        <v>47</v>
      </c>
      <c r="M13" t="s">
        <v>48</v>
      </c>
      <c r="N13" t="s">
        <v>43</v>
      </c>
      <c r="O13" t="s">
        <v>44</v>
      </c>
      <c r="P13" t="s">
        <v>49</v>
      </c>
      <c r="Q13" t="s">
        <v>50</v>
      </c>
      <c r="R13" t="s">
        <v>51</v>
      </c>
    </row>
    <row r="14" spans="1:24" ht="15.75" thickBot="1" x14ac:dyDescent="0.3">
      <c r="A14">
        <f>Preprocess!D26</f>
        <v>-1</v>
      </c>
      <c r="B14">
        <f>Preprocess!E26</f>
        <v>-1</v>
      </c>
      <c r="C14">
        <f>Preprocess!F26</f>
        <v>361</v>
      </c>
      <c r="D14" s="1" t="str">
        <f>IF(AND($A14=180,$B14=270,$C14=0),Preprocess!G26,"")</f>
        <v/>
      </c>
      <c r="E14" s="1" t="str">
        <f>IF(AND($A14=180,$B14=270,$C14=0),Preprocess!H26,"")</f>
        <v/>
      </c>
      <c r="F14" s="1" t="str">
        <f>IF(D14="","",-D14)</f>
        <v/>
      </c>
      <c r="G14" s="1" t="str">
        <f>IF(E14="","",-E14)</f>
        <v/>
      </c>
      <c r="H14" s="1" t="e">
        <f>F$14-F14</f>
        <v>#VALUE!</v>
      </c>
      <c r="I14" s="1" t="e">
        <f>G$14-G14</f>
        <v>#VALUE!</v>
      </c>
      <c r="J14" s="1" t="e">
        <f>H14+L14</f>
        <v>#VALUE!</v>
      </c>
      <c r="K14" s="1" t="e">
        <f t="shared" ref="J14:K20" si="3">I14+M14</f>
        <v>#VALUE!</v>
      </c>
      <c r="L14" s="3">
        <v>-1</v>
      </c>
      <c r="M14" s="3">
        <v>-1</v>
      </c>
      <c r="N14" s="40">
        <v>-1</v>
      </c>
      <c r="O14" s="40">
        <v>-1</v>
      </c>
      <c r="P14" s="5" t="e">
        <f>J14-N$14</f>
        <v>#VALUE!</v>
      </c>
      <c r="Q14" s="6" t="e">
        <f t="shared" ref="P14:Q20" si="4">K14-O$14</f>
        <v>#VALUE!</v>
      </c>
      <c r="R14" s="11" t="str">
        <f>IF(OR(D14="",E14=""),"",P14^2+Q14^2)</f>
        <v/>
      </c>
    </row>
    <row r="15" spans="1:24" x14ac:dyDescent="0.25">
      <c r="A15">
        <f>Preprocess!D29</f>
        <v>-1</v>
      </c>
      <c r="B15">
        <f>Preprocess!E29</f>
        <v>-1</v>
      </c>
      <c r="C15">
        <f>Preprocess!F29</f>
        <v>361</v>
      </c>
      <c r="D15" s="1" t="str">
        <f>IF(AND($A15=180,$B15=270),Preprocess!G29,"")</f>
        <v/>
      </c>
      <c r="E15" s="1" t="str">
        <f>IF(AND($A15=180,$B15=270),Preprocess!H29,"")</f>
        <v/>
      </c>
      <c r="F15" s="1" t="str">
        <f t="shared" ref="F15:F20" si="5">IF(D15="","",-D15)</f>
        <v/>
      </c>
      <c r="G15" s="1" t="str">
        <f t="shared" ref="G15:G20" si="6">IF(E15="","",-E15)</f>
        <v/>
      </c>
      <c r="H15" s="1" t="e">
        <f t="shared" ref="H15:H19" si="7">F$14-F15</f>
        <v>#VALUE!</v>
      </c>
      <c r="I15" s="1" t="e">
        <f t="shared" ref="I15:I20" si="8">G$14-G15</f>
        <v>#VALUE!</v>
      </c>
      <c r="J15" s="1" t="e">
        <f t="shared" si="3"/>
        <v>#VALUE!</v>
      </c>
      <c r="K15" s="1" t="e">
        <f t="shared" si="3"/>
        <v>#VALUE!</v>
      </c>
      <c r="L15" s="5">
        <f t="shared" ref="L15:L20" si="9">L$14*COS(C15*PI()/180)+M$14*SIN(C15*PI()/180)</f>
        <v>-1.0173001015936742</v>
      </c>
      <c r="M15" s="6">
        <f t="shared" ref="M15:M20" si="10">M$14*COS(C15*PI()/180)-L$14*SIN(C15*PI()/180)</f>
        <v>-0.9823952887191082</v>
      </c>
      <c r="P15" s="7" t="e">
        <f>J15-N$14</f>
        <v>#VALUE!</v>
      </c>
      <c r="Q15" s="8" t="e">
        <f t="shared" si="4"/>
        <v>#VALUE!</v>
      </c>
      <c r="R15" s="12" t="str">
        <f t="shared" ref="R15:R20" si="11">IF(OR(D15="",E15=""),"",P15^2+Q15^2)</f>
        <v/>
      </c>
      <c r="U15" s="1"/>
    </row>
    <row r="16" spans="1:24" x14ac:dyDescent="0.25">
      <c r="A16">
        <f>Preprocess!D30</f>
        <v>-1</v>
      </c>
      <c r="B16">
        <f>Preprocess!E30</f>
        <v>-1</v>
      </c>
      <c r="C16">
        <f>Preprocess!F30</f>
        <v>361</v>
      </c>
      <c r="D16" s="1" t="str">
        <f>IF(AND($A16=180,$B16=270),Preprocess!G30,"")</f>
        <v/>
      </c>
      <c r="E16" s="1" t="str">
        <f>IF(AND($A16=180,$B16=270),Preprocess!H30,"")</f>
        <v/>
      </c>
      <c r="F16" s="1" t="str">
        <f t="shared" si="5"/>
        <v/>
      </c>
      <c r="G16" s="1" t="str">
        <f t="shared" si="6"/>
        <v/>
      </c>
      <c r="H16" s="1" t="e">
        <f t="shared" si="7"/>
        <v>#VALUE!</v>
      </c>
      <c r="I16" s="1" t="e">
        <f t="shared" si="8"/>
        <v>#VALUE!</v>
      </c>
      <c r="J16" s="1" t="e">
        <f t="shared" si="3"/>
        <v>#VALUE!</v>
      </c>
      <c r="K16" s="1" t="e">
        <f t="shared" si="3"/>
        <v>#VALUE!</v>
      </c>
      <c r="L16" s="7">
        <f t="shared" si="9"/>
        <v>-1.0173001015936742</v>
      </c>
      <c r="M16" s="8">
        <f t="shared" si="10"/>
        <v>-0.9823952887191082</v>
      </c>
      <c r="P16" s="7" t="e">
        <f>J16-N$14</f>
        <v>#VALUE!</v>
      </c>
      <c r="Q16" s="8" t="e">
        <f t="shared" si="4"/>
        <v>#VALUE!</v>
      </c>
      <c r="R16" s="12" t="str">
        <f t="shared" si="11"/>
        <v/>
      </c>
      <c r="U16" s="1"/>
    </row>
    <row r="17" spans="1:21" x14ac:dyDescent="0.25">
      <c r="A17">
        <f>Preprocess!D31</f>
        <v>-1</v>
      </c>
      <c r="B17">
        <f>Preprocess!E31</f>
        <v>-1</v>
      </c>
      <c r="C17">
        <f>Preprocess!F31</f>
        <v>361</v>
      </c>
      <c r="D17" s="1" t="str">
        <f>IF(AND($A17=180,$B17=270),Preprocess!G31,"")</f>
        <v/>
      </c>
      <c r="E17" s="1" t="str">
        <f>IF(AND($A17=180,$B17=270),Preprocess!H31,"")</f>
        <v/>
      </c>
      <c r="F17" s="1" t="str">
        <f t="shared" si="5"/>
        <v/>
      </c>
      <c r="G17" s="1" t="str">
        <f t="shared" si="6"/>
        <v/>
      </c>
      <c r="H17" s="1" t="e">
        <f t="shared" si="7"/>
        <v>#VALUE!</v>
      </c>
      <c r="I17" s="1" t="e">
        <f t="shared" si="8"/>
        <v>#VALUE!</v>
      </c>
      <c r="J17" s="1" t="e">
        <f t="shared" si="3"/>
        <v>#VALUE!</v>
      </c>
      <c r="K17" s="1" t="e">
        <f t="shared" si="3"/>
        <v>#VALUE!</v>
      </c>
      <c r="L17" s="7">
        <f t="shared" si="9"/>
        <v>-1.0173001015936742</v>
      </c>
      <c r="M17" s="8">
        <f t="shared" si="10"/>
        <v>-0.9823952887191082</v>
      </c>
      <c r="P17" s="7" t="e">
        <f t="shared" si="4"/>
        <v>#VALUE!</v>
      </c>
      <c r="Q17" s="8" t="e">
        <f t="shared" si="4"/>
        <v>#VALUE!</v>
      </c>
      <c r="R17" s="12" t="str">
        <f t="shared" si="11"/>
        <v/>
      </c>
      <c r="U17" s="1"/>
    </row>
    <row r="18" spans="1:21" x14ac:dyDescent="0.25">
      <c r="A18">
        <f>Preprocess!D32</f>
        <v>-1</v>
      </c>
      <c r="B18">
        <f>Preprocess!E32</f>
        <v>-1</v>
      </c>
      <c r="C18">
        <f>Preprocess!F32</f>
        <v>361</v>
      </c>
      <c r="D18" s="1" t="str">
        <f>IF(AND($A18=180,$B18=270),Preprocess!G32,"")</f>
        <v/>
      </c>
      <c r="E18" s="1" t="str">
        <f>IF(AND($A18=180,$B18=270),Preprocess!H32,"")</f>
        <v/>
      </c>
      <c r="F18" s="1" t="str">
        <f t="shared" si="5"/>
        <v/>
      </c>
      <c r="G18" s="1" t="str">
        <f t="shared" si="6"/>
        <v/>
      </c>
      <c r="H18" s="1" t="e">
        <f t="shared" si="7"/>
        <v>#VALUE!</v>
      </c>
      <c r="I18" s="1" t="e">
        <f t="shared" si="8"/>
        <v>#VALUE!</v>
      </c>
      <c r="J18" s="1" t="e">
        <f t="shared" si="3"/>
        <v>#VALUE!</v>
      </c>
      <c r="K18" s="1" t="e">
        <f t="shared" si="3"/>
        <v>#VALUE!</v>
      </c>
      <c r="L18" s="7">
        <f t="shared" si="9"/>
        <v>-1.0173001015936742</v>
      </c>
      <c r="M18" s="8">
        <f t="shared" si="10"/>
        <v>-0.9823952887191082</v>
      </c>
      <c r="P18" s="7" t="e">
        <f t="shared" si="4"/>
        <v>#VALUE!</v>
      </c>
      <c r="Q18" s="8" t="e">
        <f t="shared" si="4"/>
        <v>#VALUE!</v>
      </c>
      <c r="R18" s="12" t="str">
        <f t="shared" si="11"/>
        <v/>
      </c>
      <c r="U18" s="1"/>
    </row>
    <row r="19" spans="1:21" x14ac:dyDescent="0.25">
      <c r="A19">
        <f>Preprocess!D33</f>
        <v>-1</v>
      </c>
      <c r="B19">
        <f>Preprocess!E33</f>
        <v>-1</v>
      </c>
      <c r="C19">
        <f>Preprocess!F33</f>
        <v>361</v>
      </c>
      <c r="D19" s="1" t="str">
        <f>IF(AND($A19=180,$B19=270),Preprocess!G33,"")</f>
        <v/>
      </c>
      <c r="E19" s="1" t="str">
        <f>IF(AND($A19=180,$B19=270),Preprocess!H33,"")</f>
        <v/>
      </c>
      <c r="F19" s="1" t="str">
        <f t="shared" si="5"/>
        <v/>
      </c>
      <c r="G19" s="1" t="str">
        <f t="shared" si="6"/>
        <v/>
      </c>
      <c r="H19" s="1" t="e">
        <f t="shared" si="7"/>
        <v>#VALUE!</v>
      </c>
      <c r="I19" s="1" t="e">
        <f t="shared" si="8"/>
        <v>#VALUE!</v>
      </c>
      <c r="J19" s="1" t="e">
        <f t="shared" si="3"/>
        <v>#VALUE!</v>
      </c>
      <c r="K19" s="1" t="e">
        <f t="shared" si="3"/>
        <v>#VALUE!</v>
      </c>
      <c r="L19" s="7">
        <f t="shared" si="9"/>
        <v>-1.0173001015936742</v>
      </c>
      <c r="M19" s="8">
        <f t="shared" si="10"/>
        <v>-0.9823952887191082</v>
      </c>
      <c r="P19" s="7" t="e">
        <f t="shared" si="4"/>
        <v>#VALUE!</v>
      </c>
      <c r="Q19" s="8" t="e">
        <f t="shared" si="4"/>
        <v>#VALUE!</v>
      </c>
      <c r="R19" s="12" t="str">
        <f t="shared" si="11"/>
        <v/>
      </c>
      <c r="U19" s="1"/>
    </row>
    <row r="20" spans="1:21" ht="15.75" thickBot="1" x14ac:dyDescent="0.3">
      <c r="A20">
        <f>Preprocess!D34</f>
        <v>-1</v>
      </c>
      <c r="B20">
        <f>Preprocess!E34</f>
        <v>-1</v>
      </c>
      <c r="C20">
        <f>Preprocess!F34</f>
        <v>361</v>
      </c>
      <c r="D20" s="1" t="str">
        <f>IF(AND($A20=180,$B20=270),Preprocess!G34,"")</f>
        <v/>
      </c>
      <c r="E20" s="1" t="str">
        <f>IF(AND($A20=180,$B20=270),Preprocess!H34,"")</f>
        <v/>
      </c>
      <c r="F20" s="1" t="str">
        <f t="shared" si="5"/>
        <v/>
      </c>
      <c r="G20" s="1" t="str">
        <f t="shared" si="6"/>
        <v/>
      </c>
      <c r="H20" s="1" t="e">
        <f>F$14-F20</f>
        <v>#VALUE!</v>
      </c>
      <c r="I20" s="1" t="e">
        <f t="shared" si="8"/>
        <v>#VALUE!</v>
      </c>
      <c r="J20" s="1" t="e">
        <f t="shared" si="3"/>
        <v>#VALUE!</v>
      </c>
      <c r="K20" s="1" t="e">
        <f t="shared" si="3"/>
        <v>#VALUE!</v>
      </c>
      <c r="L20" s="9">
        <f t="shared" si="9"/>
        <v>-1.0173001015936742</v>
      </c>
      <c r="M20" s="10">
        <f t="shared" si="10"/>
        <v>-0.9823952887191082</v>
      </c>
      <c r="P20" s="9" t="e">
        <f t="shared" si="4"/>
        <v>#VALUE!</v>
      </c>
      <c r="Q20" s="10" t="e">
        <f t="shared" si="4"/>
        <v>#VALUE!</v>
      </c>
      <c r="R20" s="12" t="str">
        <f t="shared" si="11"/>
        <v/>
      </c>
      <c r="U20" s="1"/>
    </row>
    <row r="21" spans="1:21" x14ac:dyDescent="0.25">
      <c r="L21" s="42" t="s">
        <v>80</v>
      </c>
      <c r="M21" s="43"/>
      <c r="P21" s="42" t="s">
        <v>81</v>
      </c>
      <c r="Q21" s="43"/>
      <c r="R21" s="42" t="s">
        <v>82</v>
      </c>
      <c r="S21" s="43"/>
    </row>
    <row r="22" spans="1:21" ht="15.75" thickBot="1" x14ac:dyDescent="0.3">
      <c r="A22" t="str">
        <f>Data!A19</f>
        <v>ballCBCT</v>
      </c>
      <c r="L22" s="44"/>
      <c r="M22" s="45"/>
      <c r="P22" s="44"/>
      <c r="Q22" s="45"/>
      <c r="R22" s="44"/>
      <c r="S22" s="45"/>
    </row>
    <row r="23" spans="1:21" x14ac:dyDescent="0.25">
      <c r="A23" t="str">
        <f>Data!A20</f>
        <v>x (mm)</v>
      </c>
      <c r="B23" t="str">
        <f>Data!B20</f>
        <v>y (mm)</v>
      </c>
      <c r="C23" t="str">
        <f>Data!C20</f>
        <v>z (mm)</v>
      </c>
    </row>
    <row r="24" spans="1:21" x14ac:dyDescent="0.25">
      <c r="A24" s="1">
        <f>Data!A21</f>
        <v>0</v>
      </c>
      <c r="B24" s="1">
        <f>Data!B21</f>
        <v>0</v>
      </c>
      <c r="C24" s="1">
        <f>Data!C21</f>
        <v>0</v>
      </c>
    </row>
    <row r="25" spans="1:21" x14ac:dyDescent="0.25">
      <c r="A25" t="s">
        <v>59</v>
      </c>
      <c r="E25" s="1"/>
    </row>
    <row r="26" spans="1:21" x14ac:dyDescent="0.25">
      <c r="A26" t="s">
        <v>56</v>
      </c>
      <c r="B26" t="s">
        <v>57</v>
      </c>
      <c r="C26" t="s">
        <v>58</v>
      </c>
    </row>
    <row r="27" spans="1:21" x14ac:dyDescent="0.25">
      <c r="A27" s="1">
        <f>-A24</f>
        <v>0</v>
      </c>
      <c r="B27" s="1">
        <f t="shared" ref="B27:C27" si="12">-B24</f>
        <v>0</v>
      </c>
      <c r="C27" s="1">
        <f t="shared" si="12"/>
        <v>0</v>
      </c>
    </row>
  </sheetData>
  <sheetProtection selectLockedCells="1"/>
  <mergeCells count="4">
    <mergeCell ref="L21:M22"/>
    <mergeCell ref="P21:Q22"/>
    <mergeCell ref="R21:S22"/>
    <mergeCell ref="O12:P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D500-3566-4BF6-A88B-ED283C7AC7AC}">
  <dimension ref="A1:M8"/>
  <sheetViews>
    <sheetView zoomScale="85" zoomScaleNormal="85" workbookViewId="0">
      <selection activeCell="L2" sqref="L2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13" ht="15.75" thickBot="1" x14ac:dyDescent="0.3"/>
    <row r="2" spans="1:13" ht="15.75" thickBot="1" x14ac:dyDescent="0.3">
      <c r="H2" s="47" t="s">
        <v>120</v>
      </c>
      <c r="I2" s="47"/>
      <c r="J2" s="47"/>
      <c r="K2" s="47"/>
      <c r="L2" s="35">
        <f>MAX(L4:L6)</f>
        <v>0</v>
      </c>
      <c r="M2" t="s">
        <v>121</v>
      </c>
    </row>
    <row r="3" spans="1:13" x14ac:dyDescent="0.25">
      <c r="A3" t="s">
        <v>108</v>
      </c>
      <c r="E3" s="22"/>
      <c r="F3" s="22" t="s">
        <v>28</v>
      </c>
      <c r="G3" s="22" t="s">
        <v>30</v>
      </c>
      <c r="H3" s="22" t="s">
        <v>31</v>
      </c>
      <c r="I3" s="22" t="s">
        <v>33</v>
      </c>
      <c r="J3" s="22" t="s">
        <v>117</v>
      </c>
      <c r="K3" s="22" t="s">
        <v>118</v>
      </c>
      <c r="L3" s="22" t="s">
        <v>119</v>
      </c>
    </row>
    <row r="4" spans="1:13" x14ac:dyDescent="0.25">
      <c r="A4">
        <f>Preprocess!D24</f>
        <v>-1</v>
      </c>
      <c r="B4">
        <f>Preprocess!E24</f>
        <v>-1</v>
      </c>
      <c r="C4">
        <f>Preprocess!F24</f>
        <v>361</v>
      </c>
      <c r="D4" t="str">
        <f>IF(AND($A4=180,$B4=0,$C4=0),Preprocess!G24,"")</f>
        <v/>
      </c>
      <c r="E4" s="22" t="str">
        <f>IF(AND($A4=180,$B4=0,$C4=0),Preprocess!H24,"")</f>
        <v/>
      </c>
      <c r="F4" s="34" t="str">
        <f>IF(D4="","",-D4)</f>
        <v/>
      </c>
      <c r="G4" s="34" t="str">
        <f>IF(E4="","",-E4)</f>
        <v/>
      </c>
      <c r="H4" s="37">
        <v>-1</v>
      </c>
      <c r="I4" s="37">
        <v>-1</v>
      </c>
      <c r="J4" s="34" t="e">
        <f>F4-H$4</f>
        <v>#VALUE!</v>
      </c>
      <c r="K4" s="34" t="e">
        <f>G4-I$4</f>
        <v>#VALUE!</v>
      </c>
      <c r="L4" s="34" t="str">
        <f>IF(OR(D4="",E4=""),"",SQRT(J4^2+K4^2))</f>
        <v/>
      </c>
    </row>
    <row r="5" spans="1:13" x14ac:dyDescent="0.25">
      <c r="A5">
        <f>Preprocess!D25</f>
        <v>-1</v>
      </c>
      <c r="B5">
        <f>Preprocess!E25</f>
        <v>-1</v>
      </c>
      <c r="C5">
        <f>Preprocess!F25</f>
        <v>361</v>
      </c>
      <c r="D5" t="str">
        <f>IF(AND($A5=180,$B5=90,$C5=0),Preprocess!G25,"")</f>
        <v/>
      </c>
      <c r="E5" s="22" t="str">
        <f>IF(AND($A5=180,$B5=90,$C5=0),Preprocess!H25,"")</f>
        <v/>
      </c>
      <c r="F5" s="34" t="str">
        <f t="shared" ref="F5:G7" si="0">IF(D5="","",-D5)</f>
        <v/>
      </c>
      <c r="G5" s="34" t="str">
        <f t="shared" si="0"/>
        <v/>
      </c>
      <c r="H5" s="34"/>
      <c r="I5" s="22"/>
      <c r="J5" s="34" t="e">
        <f>F5-H$4</f>
        <v>#VALUE!</v>
      </c>
      <c r="K5" s="34" t="e">
        <f>G5-I$4</f>
        <v>#VALUE!</v>
      </c>
      <c r="L5" s="34" t="str">
        <f t="shared" ref="L5:L6" si="1">IF(OR(D5="",E5=""),"",SQRT(J5^2+K5^2))</f>
        <v/>
      </c>
    </row>
    <row r="6" spans="1:13" x14ac:dyDescent="0.25">
      <c r="A6">
        <f>Preprocess!D26</f>
        <v>-1</v>
      </c>
      <c r="B6">
        <f>Preprocess!E26</f>
        <v>-1</v>
      </c>
      <c r="C6">
        <f>Preprocess!F26</f>
        <v>361</v>
      </c>
      <c r="D6" t="str">
        <f>IF(AND($A6=180,$B6=270,$C6=0),Preprocess!G26,"")</f>
        <v/>
      </c>
      <c r="E6" s="22" t="str">
        <f>IF(AND($A6=180,$B6=270,$C6=0),Preprocess!H26,"")</f>
        <v/>
      </c>
      <c r="F6" s="34" t="str">
        <f t="shared" si="0"/>
        <v/>
      </c>
      <c r="G6" s="34" t="str">
        <f t="shared" si="0"/>
        <v/>
      </c>
      <c r="H6" s="34"/>
      <c r="I6" s="22"/>
      <c r="J6" s="34" t="e">
        <f t="shared" ref="J6" si="2">F6-H$4</f>
        <v>#VALUE!</v>
      </c>
      <c r="K6" s="34" t="e">
        <f>G6-I$4</f>
        <v>#VALUE!</v>
      </c>
      <c r="L6" s="34" t="str">
        <f t="shared" si="1"/>
        <v/>
      </c>
    </row>
    <row r="7" spans="1:13" x14ac:dyDescent="0.25">
      <c r="F7" s="1" t="str">
        <f t="shared" si="0"/>
        <v/>
      </c>
      <c r="G7" s="1" t="str">
        <f t="shared" si="0"/>
        <v/>
      </c>
      <c r="H7" s="1"/>
    </row>
    <row r="8" spans="1:13" x14ac:dyDescent="0.25">
      <c r="F8" s="1"/>
      <c r="G8" s="1"/>
    </row>
  </sheetData>
  <sheetProtection selectLockedCells="1"/>
  <mergeCells count="1">
    <mergeCell ref="H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5"/>
  <sheetViews>
    <sheetView zoomScaleNormal="100" workbookViewId="0">
      <selection activeCell="N28" sqref="N28"/>
    </sheetView>
  </sheetViews>
  <sheetFormatPr defaultRowHeight="15" x14ac:dyDescent="0.25"/>
  <cols>
    <col min="1" max="1" width="32.7109375" bestFit="1" customWidth="1"/>
    <col min="2" max="2" width="8.5703125" bestFit="1" customWidth="1"/>
    <col min="3" max="7" width="15.7109375" bestFit="1" customWidth="1"/>
    <col min="8" max="8" width="10.7109375" bestFit="1" customWidth="1"/>
    <col min="9" max="9" width="19.42578125" bestFit="1" customWidth="1"/>
    <col min="10" max="10" width="10.42578125" bestFit="1" customWidth="1"/>
    <col min="11" max="11" width="13.28515625" bestFit="1" customWidth="1"/>
  </cols>
  <sheetData>
    <row r="1" spans="1:11" x14ac:dyDescent="0.25">
      <c r="A1" t="s">
        <v>67</v>
      </c>
      <c r="B1" t="s">
        <v>68</v>
      </c>
      <c r="C1" s="14" t="s">
        <v>69</v>
      </c>
      <c r="D1" s="15" t="s">
        <v>69</v>
      </c>
      <c r="E1" s="16" t="s">
        <v>69</v>
      </c>
      <c r="F1" s="14" t="s">
        <v>71</v>
      </c>
      <c r="G1" s="16" t="s">
        <v>71</v>
      </c>
      <c r="H1" s="19" t="s">
        <v>37</v>
      </c>
      <c r="I1" s="19" t="str">
        <f>Analysis!P2</f>
        <v>Coll-Gantry-misalign</v>
      </c>
      <c r="J1" s="19" t="s">
        <v>66</v>
      </c>
      <c r="K1" s="19" t="s">
        <v>73</v>
      </c>
    </row>
    <row r="2" spans="1:11" x14ac:dyDescent="0.25">
      <c r="C2" s="17" t="s">
        <v>70</v>
      </c>
      <c r="D2" t="s">
        <v>70</v>
      </c>
      <c r="E2" s="18" t="s">
        <v>70</v>
      </c>
      <c r="F2" s="17" t="s">
        <v>70</v>
      </c>
      <c r="G2" s="18" t="s">
        <v>70</v>
      </c>
      <c r="H2" s="20"/>
      <c r="I2" s="20" t="s">
        <v>22</v>
      </c>
      <c r="J2" s="20"/>
      <c r="K2" s="20" t="s">
        <v>74</v>
      </c>
    </row>
    <row r="3" spans="1:11" ht="15.75" thickBot="1" x14ac:dyDescent="0.3">
      <c r="C3" s="21" t="s">
        <v>62</v>
      </c>
      <c r="D3" s="22" t="s">
        <v>63</v>
      </c>
      <c r="E3" s="23" t="s">
        <v>64</v>
      </c>
      <c r="F3" s="21" t="s">
        <v>62</v>
      </c>
      <c r="G3" s="23" t="s">
        <v>64</v>
      </c>
      <c r="H3" s="24" t="s">
        <v>72</v>
      </c>
      <c r="I3" s="24" t="s">
        <v>72</v>
      </c>
      <c r="J3" s="24" t="s">
        <v>72</v>
      </c>
      <c r="K3" s="24" t="s">
        <v>72</v>
      </c>
    </row>
    <row r="4" spans="1:11" ht="15.75" thickBot="1" x14ac:dyDescent="0.3">
      <c r="A4" s="32" t="str">
        <f>Data!B1</f>
        <v>Data Date: NA</v>
      </c>
      <c r="B4" t="s">
        <v>99</v>
      </c>
      <c r="C4" s="25" t="e">
        <f>Analysis!V3-Analysis!V$4</f>
        <v>#DIV/0!</v>
      </c>
      <c r="D4" s="26" t="e">
        <f>Analysis!W3-Analysis!W$4</f>
        <v>#DIV/0!</v>
      </c>
      <c r="E4" s="27" t="e">
        <f>Analysis!X3-Analysis!X$4</f>
        <v>#DIV/0!</v>
      </c>
      <c r="F4" s="25" t="e">
        <f>Analysis!V5-Analysis!V$4</f>
        <v>#DIV/0!</v>
      </c>
      <c r="G4" s="28" t="e">
        <f>Analysis!X5-Analysis!X$4</f>
        <v>#DIV/0!</v>
      </c>
      <c r="H4" s="29" t="str">
        <f>Analysis!O3</f>
        <v/>
      </c>
      <c r="I4" s="30" t="e">
        <f>Analysis!P3</f>
        <v>#DIV/0!</v>
      </c>
      <c r="J4" s="30" t="str">
        <f>Analysis!T1</f>
        <v/>
      </c>
      <c r="K4" s="30">
        <f>2*SQRT(Analysis!R12)</f>
        <v>0</v>
      </c>
    </row>
    <row r="5" spans="1:11" x14ac:dyDescent="0.25">
      <c r="C5" s="31"/>
      <c r="D5" s="31"/>
      <c r="E5" s="31"/>
      <c r="F5" s="31"/>
      <c r="G5" s="31"/>
      <c r="H5" s="31"/>
      <c r="I5" s="31"/>
      <c r="J5" s="31"/>
      <c r="K5" s="31"/>
    </row>
  </sheetData>
  <sheetProtection selectLockedCells="1"/>
  <pageMargins left="0.7" right="0.7" top="0.75" bottom="0.75" header="0.3" footer="0.3"/>
  <pageSetup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F16"/>
  <sheetViews>
    <sheetView workbookViewId="0">
      <selection activeCell="J21" sqref="J21:J22"/>
    </sheetView>
  </sheetViews>
  <sheetFormatPr defaultRowHeight="15" x14ac:dyDescent="0.25"/>
  <sheetData>
    <row r="2" spans="3:6" x14ac:dyDescent="0.25">
      <c r="C2" t="s">
        <v>77</v>
      </c>
    </row>
    <row r="3" spans="3:6" x14ac:dyDescent="0.25">
      <c r="D3">
        <v>1</v>
      </c>
      <c r="E3" t="s">
        <v>78</v>
      </c>
    </row>
    <row r="4" spans="3:6" x14ac:dyDescent="0.25">
      <c r="D4">
        <v>2</v>
      </c>
      <c r="E4" t="s">
        <v>84</v>
      </c>
    </row>
    <row r="5" spans="3:6" x14ac:dyDescent="0.25">
      <c r="D5">
        <v>3</v>
      </c>
      <c r="E5" t="s">
        <v>85</v>
      </c>
    </row>
    <row r="6" spans="3:6" x14ac:dyDescent="0.25">
      <c r="D6">
        <v>4</v>
      </c>
      <c r="E6" t="s">
        <v>86</v>
      </c>
    </row>
    <row r="7" spans="3:6" x14ac:dyDescent="0.25">
      <c r="E7" t="s">
        <v>87</v>
      </c>
      <c r="F7" t="s">
        <v>88</v>
      </c>
    </row>
    <row r="8" spans="3:6" x14ac:dyDescent="0.25">
      <c r="E8" t="s">
        <v>89</v>
      </c>
      <c r="F8" t="s">
        <v>91</v>
      </c>
    </row>
    <row r="9" spans="3:6" x14ac:dyDescent="0.25">
      <c r="E9" t="s">
        <v>90</v>
      </c>
      <c r="F9" t="s">
        <v>92</v>
      </c>
    </row>
    <row r="10" spans="3:6" x14ac:dyDescent="0.25">
      <c r="E10" t="s">
        <v>93</v>
      </c>
      <c r="F10" t="s">
        <v>94</v>
      </c>
    </row>
    <row r="11" spans="3:6" x14ac:dyDescent="0.25">
      <c r="D11">
        <v>5</v>
      </c>
      <c r="E11" t="s">
        <v>124</v>
      </c>
    </row>
    <row r="12" spans="3:6" x14ac:dyDescent="0.25">
      <c r="D12">
        <v>6</v>
      </c>
      <c r="E12" t="s">
        <v>125</v>
      </c>
    </row>
    <row r="13" spans="3:6" x14ac:dyDescent="0.25">
      <c r="D13">
        <v>8</v>
      </c>
      <c r="E13" t="s">
        <v>95</v>
      </c>
    </row>
    <row r="14" spans="3:6" x14ac:dyDescent="0.25">
      <c r="D14">
        <v>9</v>
      </c>
      <c r="E14" t="s">
        <v>122</v>
      </c>
    </row>
    <row r="15" spans="3:6" x14ac:dyDescent="0.25">
      <c r="D15">
        <v>10</v>
      </c>
      <c r="E15" t="s">
        <v>96</v>
      </c>
    </row>
    <row r="16" spans="3:6" x14ac:dyDescent="0.25">
      <c r="D16">
        <v>11</v>
      </c>
      <c r="E16" t="s">
        <v>126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SNCImport</vt:lpstr>
      <vt:lpstr>Data</vt:lpstr>
      <vt:lpstr>Preprocess</vt:lpstr>
      <vt:lpstr>Analysis</vt:lpstr>
      <vt:lpstr>Collimator</vt:lpstr>
      <vt:lpstr>Report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Lam</dc:creator>
  <cp:lastModifiedBy>Irrer, Jim</cp:lastModifiedBy>
  <cp:lastPrinted>2024-03-19T12:02:50Z</cp:lastPrinted>
  <dcterms:created xsi:type="dcterms:W3CDTF">2022-04-17T19:50:10Z</dcterms:created>
  <dcterms:modified xsi:type="dcterms:W3CDTF">2025-01-26T20:52:41Z</dcterms:modified>
</cp:coreProperties>
</file>