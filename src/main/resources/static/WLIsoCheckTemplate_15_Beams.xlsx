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13A58C48-A1E9-4D0D-91D2-7F8B5907FDCD}" xr6:coauthVersionLast="47" xr6:coauthVersionMax="47" xr10:uidLastSave="{00000000-0000-0000-0000-000000000000}"/>
  <bookViews>
    <workbookView xWindow="28680" yWindow="-345" windowWidth="29040" windowHeight="1824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5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G6" i="2"/>
  <c r="G7" i="2"/>
  <c r="G8" i="2"/>
  <c r="G9" i="2"/>
  <c r="G10" i="2"/>
  <c r="G11" i="2"/>
  <c r="G12" i="2"/>
  <c r="G13" i="2"/>
  <c r="G14" i="2"/>
  <c r="G15" i="2"/>
  <c r="G16" i="2"/>
  <c r="G17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3" i="2"/>
  <c r="V4" i="2" l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D20" i="2" l="1" a="1"/>
  <c r="D20" i="2" l="1"/>
  <c r="A3" i="3" s="1"/>
  <c r="C4" i="3"/>
  <c r="C10" i="3"/>
  <c r="C15" i="3"/>
  <c r="A18" i="3"/>
  <c r="C5" i="8"/>
  <c r="B5" i="3"/>
  <c r="C18" i="3"/>
  <c r="C7" i="3"/>
  <c r="C11" i="3"/>
  <c r="A19" i="3"/>
  <c r="A8" i="3"/>
  <c r="A14" i="3"/>
  <c r="B19" i="3"/>
  <c r="B8" i="3"/>
  <c r="C19" i="3"/>
  <c r="A6" i="3"/>
  <c r="C14" i="3"/>
  <c r="A5" i="3"/>
  <c r="A7" i="3"/>
  <c r="A11" i="3"/>
  <c r="B18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A20" i="3"/>
  <c r="C6" i="3"/>
  <c r="B9" i="3"/>
  <c r="B20" i="3"/>
  <c r="C9" i="3"/>
  <c r="A17" i="3"/>
  <c r="C20" i="3"/>
  <c r="C6" i="8"/>
  <c r="A4" i="3"/>
  <c r="A10" i="3"/>
  <c r="A15" i="3"/>
  <c r="B17" i="3"/>
  <c r="B6" i="8"/>
  <c r="B4" i="3"/>
  <c r="B10" i="3"/>
  <c r="B15" i="3"/>
  <c r="C17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E19" i="3"/>
  <c r="G19" i="3" s="1"/>
  <c r="D19" i="3"/>
  <c r="M16" i="3"/>
  <c r="L16" i="3"/>
  <c r="L20" i="3"/>
  <c r="M20" i="3"/>
  <c r="D11" i="3"/>
  <c r="G11" i="3" s="1"/>
  <c r="E11" i="3"/>
  <c r="H11" i="3" s="1"/>
  <c r="E6" i="8"/>
  <c r="G6" i="8" s="1"/>
  <c r="K6" i="8" s="1"/>
  <c r="D6" i="8"/>
  <c r="F6" i="8" s="1"/>
  <c r="J6" i="8" s="1"/>
  <c r="D17" i="3"/>
  <c r="F17" i="3" s="1"/>
  <c r="E17" i="3"/>
  <c r="G17" i="3" s="1"/>
  <c r="D7" i="3"/>
  <c r="F7" i="3" s="1"/>
  <c r="E7" i="3"/>
  <c r="H7" i="3" s="1"/>
  <c r="L18" i="3"/>
  <c r="M18" i="3"/>
  <c r="L17" i="3"/>
  <c r="M17" i="3"/>
  <c r="D5" i="3"/>
  <c r="G5" i="3" s="1"/>
  <c r="E5" i="3"/>
  <c r="H5" i="3" s="1"/>
  <c r="D6" i="3"/>
  <c r="G6" i="3" s="1"/>
  <c r="E6" i="3"/>
  <c r="H6" i="3" s="1"/>
  <c r="D18" i="3"/>
  <c r="F18" i="3" s="1"/>
  <c r="E18" i="3"/>
  <c r="G18" i="3" s="1"/>
  <c r="D16" i="3"/>
  <c r="F16" i="3" s="1"/>
  <c r="E16" i="3"/>
  <c r="G16" i="3" s="1"/>
  <c r="M19" i="3"/>
  <c r="L19" i="3"/>
  <c r="M15" i="3"/>
  <c r="L15" i="3"/>
  <c r="D20" i="3"/>
  <c r="F20" i="3" s="1"/>
  <c r="E20" i="3"/>
  <c r="G20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9" i="3"/>
  <c r="K19" i="3" s="1"/>
  <c r="Q19" i="3" s="1"/>
  <c r="I17" i="3"/>
  <c r="K17" i="3" s="1"/>
  <c r="Q17" i="3" s="1"/>
  <c r="I20" i="3"/>
  <c r="K20" i="3" s="1"/>
  <c r="Q20" i="3" s="1"/>
  <c r="I14" i="3"/>
  <c r="K14" i="3" s="1"/>
  <c r="Q14" i="3" s="1"/>
  <c r="I18" i="3"/>
  <c r="K18" i="3" s="1"/>
  <c r="Q18" i="3" s="1"/>
  <c r="I16" i="3"/>
  <c r="K16" i="3" s="1"/>
  <c r="Q16" i="3" s="1"/>
  <c r="H18" i="3"/>
  <c r="J18" i="3" s="1"/>
  <c r="P18" i="3" s="1"/>
  <c r="H17" i="3"/>
  <c r="J17" i="3" s="1"/>
  <c r="P17" i="3" s="1"/>
  <c r="H16" i="3"/>
  <c r="J16" i="3" s="1"/>
  <c r="P16" i="3" s="1"/>
  <c r="H20" i="3"/>
  <c r="J20" i="3" s="1"/>
  <c r="P20" i="3" s="1"/>
  <c r="H14" i="3"/>
  <c r="J14" i="3" s="1"/>
  <c r="H15" i="3"/>
  <c r="J15" i="3" s="1"/>
  <c r="P15" i="3" s="1"/>
  <c r="K10" i="3"/>
  <c r="R10" i="3" s="1"/>
  <c r="I3" i="3"/>
  <c r="Q4" i="3" s="1"/>
  <c r="F19" i="3"/>
  <c r="H19" i="3" s="1"/>
  <c r="J19" i="3" s="1"/>
  <c r="P19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C6" i="6"/>
  <c r="G4" i="4"/>
  <c r="C4" i="6"/>
  <c r="R12" i="3"/>
  <c r="C3" i="6"/>
  <c r="D4" i="4"/>
  <c r="S2" i="3" l="1"/>
  <c r="T2" i="3"/>
  <c r="T1" i="3" s="1"/>
  <c r="C9" i="6" s="1"/>
  <c r="K4" i="4"/>
  <c r="C10" i="6"/>
  <c r="F4" i="4"/>
  <c r="C5" i="6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<sst xmlns="http://schemas.openxmlformats.org/spreadsheetml/2006/main" count="267" uniqueCount="132">
  <si>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</si>
  <si>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</si>
  <si>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</si>
  <si>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</si>
  <si>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</si>
  <si>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</si>
  <si>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</si>
  <si>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</si>
  <si>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</si>
  <si>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</si>
  <si>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</si>
  <si>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</si>
  <si>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</si>
  <si>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</si>
  <si>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</si>
  <si>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</si>
  <si>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</si>
  <si>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</si>
  <si>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</si>
  <si>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</si>
  <si>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</si>
  <si>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</si>
  <si>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</si>
  <si>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</si>
  <si>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</si>
  <si>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</si>
  <si>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</si>
  <si>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</si>
  <si>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</si>
  <si>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</si>
  <si>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</si>
  <si>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</si>
  <si>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</si>
  <si>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</si>
  <si>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</si>
  <si>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</si>
  <si>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</si>
  <si>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</si>
  <si>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</si>
  <si>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</si>
  <si>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</si>
  <si>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</si>
  <si>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</si>
  <si>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</si>
  <si>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</si>
  <si>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</si>
  <si>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</si>
  <si>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</si>
  <si>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</si>
  <si>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</si>
  <si>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</si>
  <si>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</si>
  <si>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</si>
  <si>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</si>
  <si>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</si>
  <si>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</si>
  <si>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</si>
  <si>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</si>
  <si>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</si>
  <si>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</si>
  <si>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</si>
  <si>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</si>
  <si>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</si>
  <si>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</si>
  <si>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</si>
  <si>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</si>
  <si>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</si>
  <si>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</si>
  <si>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</si>
  <si>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</si>
  <si>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</si>
  <si>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</si>
  <si>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</si>
  <si>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</si>
  <si>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</si>
  <si>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</si>
  <si>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</si>
  <si>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</si>
  <si>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</si>
  <si>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</si>
  <si>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</si>
  <si>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</si>
  <si>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</si>
  <si>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</si>
  <si>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</si>
  <si>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</si>
  <si>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</si>
  <si>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</si>
  <si>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</si>
  <si>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</si>
  <si>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</si>
  <si>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</si>
  <si>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</si>
  <si>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</si>
  <si>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</si>
  <si>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</si>
  <si>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</si>
  <si>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</si>
  <si>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</si>
  <si>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</si>
  <si>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</si>
  <si>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</si>
  <si>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</si>
  <si>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</si>
  <si>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Table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</si>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</sst>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2"/>
  <sheetViews>
    <sheetView tabSelected="1" workbookViewId="0"/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103</v>
      </c>
      <c r="C5" s="34" t="e">
        <f>Analysis!V5-Analysis!V$4</f>
        <v>#DIV/0!</v>
      </c>
    </row>
    <row r="6" spans="2:3" x14ac:dyDescent="0.25">
      <c r="B6" s="33" t="s">
        <v>104</v>
      </c>
      <c r="C6" s="34" t="e">
        <f>Analysis!X5-Analysis!X$4</f>
        <v>#DIV/0!</v>
      </c>
    </row>
    <row r="7" spans="2:3" x14ac:dyDescent="0.25">
      <c r="B7" s="33" t="s">
        <v>131</v>
      </c>
      <c r="C7" s="34" t="str">
        <f>Analysis!O3</f>
        <v/>
      </c>
    </row>
    <row r="8" spans="2:3" x14ac:dyDescent="0.25">
      <c r="B8" s="33" t="s">
        <v>105</v>
      </c>
      <c r="C8" s="34" t="e">
        <f>Analysis!P3</f>
        <v>#DIV/0!</v>
      </c>
    </row>
    <row r="9" spans="2:3" x14ac:dyDescent="0.25">
      <c r="B9" s="33" t="s">
        <v>106</v>
      </c>
      <c r="C9" s="34" t="str">
        <f>Analysis!T1</f>
        <v/>
      </c>
    </row>
    <row r="10" spans="2:3" x14ac:dyDescent="0.25">
      <c r="B10" s="33" t="s">
        <v>108</v>
      </c>
      <c r="C10" s="34">
        <f>SQRT(Analysis!R12)</f>
        <v>0</v>
      </c>
    </row>
    <row r="11" spans="2:3" x14ac:dyDescent="0.25">
      <c r="B11" s="33" t="s">
        <v>109</v>
      </c>
      <c r="C11" s="34">
        <f>Analysis!O8</f>
        <v>0</v>
      </c>
    </row>
    <row r="12" spans="2:3" x14ac:dyDescent="0.25">
      <c r="B12" s="33" t="s">
        <v>110</v>
      </c>
      <c r="C12" s="34">
        <f>Collimator!L2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21" sqref="G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129</v>
      </c>
      <c r="B1" s="38" t="s">
        <v>127</v>
      </c>
      <c r="C1" s="38" t="s">
        <v>128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122</v>
      </c>
      <c r="X2" s="38" t="s">
        <v>97</v>
      </c>
      <c r="Y2" s="38" t="s">
        <v>98</v>
      </c>
    </row>
    <row r="3" spans="1:25" x14ac:dyDescent="0.25">
      <c r="A3" s="38" t="s">
        <v>126</v>
      </c>
      <c r="B3" s="38" t="s">
        <v>126</v>
      </c>
      <c r="C3" s="38" t="s">
        <v>126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126</v>
      </c>
      <c r="W3" s="38" t="s">
        <v>126</v>
      </c>
      <c r="X3" s="38" t="s">
        <v>126</v>
      </c>
      <c r="Y3" s="38" t="s">
        <v>126</v>
      </c>
    </row>
    <row r="4" spans="1:25" x14ac:dyDescent="0.25">
      <c r="A4" s="38" t="s">
        <v>126</v>
      </c>
      <c r="B4" s="38" t="s">
        <v>126</v>
      </c>
      <c r="C4" s="38" t="s">
        <v>126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126</v>
      </c>
      <c r="W4" s="38" t="s">
        <v>126</v>
      </c>
      <c r="X4" s="38" t="s">
        <v>126</v>
      </c>
      <c r="Y4" s="38" t="s">
        <v>126</v>
      </c>
    </row>
    <row r="5" spans="1:25" x14ac:dyDescent="0.25">
      <c r="A5" s="38" t="s">
        <v>126</v>
      </c>
      <c r="B5" s="38" t="s">
        <v>126</v>
      </c>
      <c r="C5" s="38" t="s">
        <v>126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126</v>
      </c>
      <c r="W5" s="38" t="s">
        <v>126</v>
      </c>
      <c r="X5" s="38" t="s">
        <v>126</v>
      </c>
      <c r="Y5" s="38" t="s">
        <v>126</v>
      </c>
    </row>
    <row r="6" spans="1:25" x14ac:dyDescent="0.25">
      <c r="A6" s="38" t="s">
        <v>126</v>
      </c>
      <c r="B6" s="38" t="s">
        <v>126</v>
      </c>
      <c r="C6" s="38" t="s">
        <v>126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126</v>
      </c>
      <c r="W6" s="38" t="s">
        <v>126</v>
      </c>
      <c r="X6" s="38" t="s">
        <v>126</v>
      </c>
      <c r="Y6" s="38" t="s">
        <v>126</v>
      </c>
    </row>
    <row r="7" spans="1:25" x14ac:dyDescent="0.25">
      <c r="A7" s="38" t="s">
        <v>126</v>
      </c>
      <c r="B7" s="38" t="s">
        <v>126</v>
      </c>
      <c r="C7" s="38" t="s">
        <v>126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126</v>
      </c>
      <c r="W7" s="38" t="s">
        <v>126</v>
      </c>
      <c r="X7" s="38" t="s">
        <v>126</v>
      </c>
      <c r="Y7" s="38" t="s">
        <v>126</v>
      </c>
    </row>
    <row r="8" spans="1:25" x14ac:dyDescent="0.25">
      <c r="A8" s="38" t="s">
        <v>126</v>
      </c>
      <c r="B8" s="38" t="s">
        <v>126</v>
      </c>
      <c r="C8" s="38" t="s">
        <v>126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126</v>
      </c>
      <c r="W8" s="38" t="s">
        <v>126</v>
      </c>
      <c r="X8" s="38" t="s">
        <v>126</v>
      </c>
      <c r="Y8" s="38" t="s">
        <v>126</v>
      </c>
    </row>
    <row r="9" spans="1:25" x14ac:dyDescent="0.25">
      <c r="A9" s="38" t="s">
        <v>126</v>
      </c>
      <c r="B9" s="38" t="s">
        <v>126</v>
      </c>
      <c r="C9" s="38" t="s">
        <v>126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126</v>
      </c>
      <c r="W9" s="38" t="s">
        <v>126</v>
      </c>
      <c r="X9" s="38" t="s">
        <v>126</v>
      </c>
      <c r="Y9" s="38" t="s">
        <v>126</v>
      </c>
    </row>
    <row r="10" spans="1:25" x14ac:dyDescent="0.25">
      <c r="A10" s="38" t="s">
        <v>126</v>
      </c>
      <c r="B10" s="38" t="s">
        <v>126</v>
      </c>
      <c r="C10" s="38" t="s">
        <v>126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126</v>
      </c>
      <c r="W10" s="38" t="s">
        <v>126</v>
      </c>
      <c r="X10" s="38" t="s">
        <v>126</v>
      </c>
      <c r="Y10" s="38" t="s">
        <v>126</v>
      </c>
    </row>
    <row r="11" spans="1:25" x14ac:dyDescent="0.25">
      <c r="A11" s="38" t="s">
        <v>126</v>
      </c>
      <c r="B11" s="38" t="s">
        <v>126</v>
      </c>
      <c r="C11" s="38" t="s">
        <v>126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126</v>
      </c>
      <c r="W11" s="38" t="s">
        <v>126</v>
      </c>
      <c r="X11" s="38" t="s">
        <v>126</v>
      </c>
      <c r="Y11" s="38" t="s">
        <v>126</v>
      </c>
    </row>
    <row r="12" spans="1:25" x14ac:dyDescent="0.25">
      <c r="A12" s="38" t="s">
        <v>126</v>
      </c>
      <c r="B12" s="38" t="s">
        <v>126</v>
      </c>
      <c r="C12" s="38" t="s">
        <v>126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126</v>
      </c>
      <c r="W12" s="38" t="s">
        <v>126</v>
      </c>
      <c r="X12" s="38" t="s">
        <v>126</v>
      </c>
      <c r="Y12" s="38" t="s">
        <v>126</v>
      </c>
    </row>
    <row r="13" spans="1:25" x14ac:dyDescent="0.25">
      <c r="A13" s="38" t="s">
        <v>126</v>
      </c>
      <c r="B13" s="38" t="s">
        <v>126</v>
      </c>
      <c r="C13" s="38" t="s">
        <v>126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126</v>
      </c>
      <c r="W13" s="38" t="s">
        <v>126</v>
      </c>
      <c r="X13" s="38" t="s">
        <v>126</v>
      </c>
      <c r="Y13" s="38" t="s">
        <v>126</v>
      </c>
    </row>
    <row r="14" spans="1:25" x14ac:dyDescent="0.25">
      <c r="A14" s="38" t="s">
        <v>126</v>
      </c>
      <c r="B14" s="38" t="s">
        <v>126</v>
      </c>
      <c r="C14" s="38" t="s">
        <v>126</v>
      </c>
      <c r="D14" s="38">
        <v>-1</v>
      </c>
      <c r="E14" s="38">
        <v>-1</v>
      </c>
      <c r="F14" s="38">
        <v>-1</v>
      </c>
      <c r="G14" s="38">
        <v>-1</v>
      </c>
      <c r="H14" s="38">
        <v>-1</v>
      </c>
      <c r="I14" s="38">
        <v>-1</v>
      </c>
      <c r="J14" s="38">
        <v>-1</v>
      </c>
      <c r="K14" s="38">
        <v>-1</v>
      </c>
      <c r="L14" s="38">
        <v>-1</v>
      </c>
      <c r="M14" s="38">
        <v>-1</v>
      </c>
      <c r="N14" s="38">
        <v>-1</v>
      </c>
      <c r="O14" s="38">
        <v>-1</v>
      </c>
      <c r="P14" s="38">
        <v>-1</v>
      </c>
      <c r="Q14" s="38">
        <v>-1</v>
      </c>
      <c r="R14" s="38">
        <v>-1</v>
      </c>
      <c r="S14" s="38">
        <v>-1</v>
      </c>
      <c r="T14" s="38">
        <v>-1</v>
      </c>
      <c r="U14" s="38">
        <v>-1</v>
      </c>
      <c r="V14" s="38" t="s">
        <v>126</v>
      </c>
      <c r="W14" s="38" t="s">
        <v>126</v>
      </c>
      <c r="X14" s="38" t="s">
        <v>126</v>
      </c>
      <c r="Y14" s="38" t="s">
        <v>126</v>
      </c>
    </row>
    <row r="15" spans="1:25" x14ac:dyDescent="0.25">
      <c r="A15" s="38" t="s">
        <v>126</v>
      </c>
      <c r="B15" s="38" t="s">
        <v>126</v>
      </c>
      <c r="C15" s="38" t="s">
        <v>126</v>
      </c>
      <c r="D15" s="38">
        <v>-1</v>
      </c>
      <c r="E15" s="38">
        <v>-1</v>
      </c>
      <c r="F15" s="38">
        <v>-1</v>
      </c>
      <c r="G15" s="38">
        <v>-1</v>
      </c>
      <c r="H15" s="38">
        <v>-1</v>
      </c>
      <c r="I15" s="38">
        <v>-1</v>
      </c>
      <c r="J15" s="38">
        <v>-1</v>
      </c>
      <c r="K15" s="38">
        <v>-1</v>
      </c>
      <c r="L15" s="38">
        <v>-1</v>
      </c>
      <c r="M15" s="38">
        <v>-1</v>
      </c>
      <c r="N15" s="38">
        <v>-1</v>
      </c>
      <c r="O15" s="38">
        <v>-1</v>
      </c>
      <c r="P15" s="38">
        <v>-1</v>
      </c>
      <c r="Q15" s="38">
        <v>-1</v>
      </c>
      <c r="R15" s="38">
        <v>-1</v>
      </c>
      <c r="S15" s="38">
        <v>-1</v>
      </c>
      <c r="T15" s="38">
        <v>-1</v>
      </c>
      <c r="U15" s="38">
        <v>-1</v>
      </c>
      <c r="V15" s="38" t="s">
        <v>126</v>
      </c>
      <c r="W15" s="38" t="s">
        <v>126</v>
      </c>
      <c r="X15" s="38" t="s">
        <v>126</v>
      </c>
      <c r="Y15" s="38" t="s">
        <v>126</v>
      </c>
    </row>
    <row r="16" spans="1:25" x14ac:dyDescent="0.25">
      <c r="A16" s="38" t="s">
        <v>126</v>
      </c>
      <c r="B16" s="38" t="s">
        <v>126</v>
      </c>
      <c r="C16" s="38" t="s">
        <v>126</v>
      </c>
      <c r="D16" s="38">
        <v>-1</v>
      </c>
      <c r="E16" s="38">
        <v>-1</v>
      </c>
      <c r="F16" s="38">
        <v>-1</v>
      </c>
      <c r="G16" s="38">
        <v>-1</v>
      </c>
      <c r="H16" s="38">
        <v>-1</v>
      </c>
      <c r="I16" s="38">
        <v>-1</v>
      </c>
      <c r="J16" s="38">
        <v>-1</v>
      </c>
      <c r="K16" s="38">
        <v>-1</v>
      </c>
      <c r="L16" s="38">
        <v>-1</v>
      </c>
      <c r="M16" s="38">
        <v>-1</v>
      </c>
      <c r="N16" s="38">
        <v>-1</v>
      </c>
      <c r="O16" s="38">
        <v>-1</v>
      </c>
      <c r="P16" s="38">
        <v>-1</v>
      </c>
      <c r="Q16" s="38">
        <v>-1</v>
      </c>
      <c r="R16" s="38">
        <v>-1</v>
      </c>
      <c r="S16" s="38">
        <v>-1</v>
      </c>
      <c r="T16" s="38">
        <v>-1</v>
      </c>
      <c r="U16" s="38">
        <v>-1</v>
      </c>
      <c r="V16" s="38" t="s">
        <v>126</v>
      </c>
      <c r="W16" s="38" t="s">
        <v>126</v>
      </c>
      <c r="X16" s="38" t="s">
        <v>126</v>
      </c>
      <c r="Y16" s="38" t="s">
        <v>126</v>
      </c>
    </row>
    <row r="17" spans="1:25" x14ac:dyDescent="0.25">
      <c r="A17" s="38" t="s">
        <v>126</v>
      </c>
      <c r="B17" s="38" t="s">
        <v>126</v>
      </c>
      <c r="C17" s="38" t="s">
        <v>126</v>
      </c>
      <c r="D17" s="38">
        <v>-1</v>
      </c>
      <c r="E17" s="38">
        <v>-1</v>
      </c>
      <c r="F17" s="38">
        <v>-1</v>
      </c>
      <c r="G17" s="38">
        <v>-1</v>
      </c>
      <c r="H17" s="38">
        <v>-1</v>
      </c>
      <c r="I17" s="38">
        <v>-1</v>
      </c>
      <c r="J17" s="38">
        <v>-1</v>
      </c>
      <c r="K17" s="38">
        <v>-1</v>
      </c>
      <c r="L17" s="38">
        <v>-1</v>
      </c>
      <c r="M17" s="38">
        <v>-1</v>
      </c>
      <c r="N17" s="38">
        <v>-1</v>
      </c>
      <c r="O17" s="38">
        <v>-1</v>
      </c>
      <c r="P17" s="38">
        <v>-1</v>
      </c>
      <c r="Q17" s="38">
        <v>-1</v>
      </c>
      <c r="R17" s="38">
        <v>-1</v>
      </c>
      <c r="S17" s="38">
        <v>-1</v>
      </c>
      <c r="T17" s="38">
        <v>-1</v>
      </c>
      <c r="U17" s="38">
        <v>-1</v>
      </c>
      <c r="V17" s="38" t="s">
        <v>126</v>
      </c>
      <c r="W17" s="38" t="s">
        <v>126</v>
      </c>
      <c r="X17" s="38" t="s">
        <v>126</v>
      </c>
      <c r="Y17" s="38" t="s">
        <v>126</v>
      </c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 t="s">
        <v>130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topLeftCell="D13" workbookViewId="0">
      <selection activeCell="J19" sqref="J19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A14" t="str">
        <f>Data!A14</f>
        <v>NA</v>
      </c>
      <c r="B14" t="str">
        <f>Data!B14</f>
        <v>NA</v>
      </c>
      <c r="C14" t="str">
        <f>Data!C14</f>
        <v>NA</v>
      </c>
      <c r="D14" s="2">
        <f>IF(ROUND(Data!E14,0)=360,0,ROUND(Data!E14,0))</f>
        <v>-1</v>
      </c>
      <c r="E14" s="2">
        <f>IF(ROUND(Data!F14,0)=360,0,ROUND(Data!F14,0))</f>
        <v>-1</v>
      </c>
      <c r="F14" s="2">
        <f>IF(ROUND(Data!D14,0)=0,0,ROUND(360-Data!D14,0))</f>
        <v>361</v>
      </c>
      <c r="G14" s="1">
        <f>Data!G14</f>
        <v>-1</v>
      </c>
      <c r="H14" s="1">
        <f>Data!H14</f>
        <v>-1</v>
      </c>
      <c r="I14" s="1">
        <f>Data!I14</f>
        <v>-1</v>
      </c>
      <c r="J14" s="1">
        <f>Data!J14</f>
        <v>-1</v>
      </c>
      <c r="K14" s="1">
        <f>Data!K14</f>
        <v>-1</v>
      </c>
      <c r="L14" s="1">
        <f>Data!L14</f>
        <v>-1</v>
      </c>
      <c r="M14" s="1">
        <f>Data!M14</f>
        <v>-1</v>
      </c>
      <c r="N14" s="1">
        <f>Data!N14</f>
        <v>-1</v>
      </c>
      <c r="O14" s="1">
        <f>Data!O14</f>
        <v>-1</v>
      </c>
      <c r="P14" s="1">
        <f>Data!P14</f>
        <v>-1</v>
      </c>
      <c r="Q14" s="1">
        <f>Data!Q14</f>
        <v>-1</v>
      </c>
      <c r="R14" s="1">
        <f>Data!R14</f>
        <v>-1</v>
      </c>
      <c r="S14" s="1">
        <f>Data!S14</f>
        <v>-1</v>
      </c>
      <c r="T14" s="1">
        <f>Data!T14</f>
        <v>-1</v>
      </c>
      <c r="U14" s="1">
        <f>Data!U14</f>
        <v>-1</v>
      </c>
      <c r="V14" t="str">
        <f>Data!V14</f>
        <v>NA</v>
      </c>
    </row>
    <row r="15" spans="1:22" x14ac:dyDescent="0.25">
      <c r="A15" t="str">
        <f>Data!A15</f>
        <v>NA</v>
      </c>
      <c r="B15" t="str">
        <f>Data!B15</f>
        <v>NA</v>
      </c>
      <c r="C15" t="str">
        <f>Data!C15</f>
        <v>NA</v>
      </c>
      <c r="D15" s="2">
        <f>IF(ROUND(Data!E15,0)=360,0,ROUND(Data!E15,0))</f>
        <v>-1</v>
      </c>
      <c r="E15" s="2">
        <f>IF(ROUND(Data!F15,0)=360,0,ROUND(Data!F15,0))</f>
        <v>-1</v>
      </c>
      <c r="F15" s="2">
        <f>IF(ROUND(Data!D15,0)=0,0,ROUND(360-Data!D15,0))</f>
        <v>361</v>
      </c>
      <c r="G15" s="1">
        <f>Data!G15</f>
        <v>-1</v>
      </c>
      <c r="H15" s="1">
        <f>Data!H15</f>
        <v>-1</v>
      </c>
      <c r="I15" s="1">
        <f>Data!I15</f>
        <v>-1</v>
      </c>
      <c r="J15" s="1">
        <f>Data!J15</f>
        <v>-1</v>
      </c>
      <c r="K15" s="1">
        <f>Data!K15</f>
        <v>-1</v>
      </c>
      <c r="L15" s="1">
        <f>Data!L15</f>
        <v>-1</v>
      </c>
      <c r="M15" s="1">
        <f>Data!M15</f>
        <v>-1</v>
      </c>
      <c r="N15" s="1">
        <f>Data!N15</f>
        <v>-1</v>
      </c>
      <c r="O15" s="1">
        <f>Data!O15</f>
        <v>-1</v>
      </c>
      <c r="P15" s="1">
        <f>Data!P15</f>
        <v>-1</v>
      </c>
      <c r="Q15" s="1">
        <f>Data!Q15</f>
        <v>-1</v>
      </c>
      <c r="R15" s="1">
        <f>Data!R15</f>
        <v>-1</v>
      </c>
      <c r="S15" s="1">
        <f>Data!S15</f>
        <v>-1</v>
      </c>
      <c r="T15" s="1">
        <f>Data!T15</f>
        <v>-1</v>
      </c>
      <c r="U15" s="1">
        <f>Data!U15</f>
        <v>-1</v>
      </c>
      <c r="V15" t="str">
        <f>Data!V15</f>
        <v>NA</v>
      </c>
    </row>
    <row r="16" spans="1:22" x14ac:dyDescent="0.25">
      <c r="A16" t="str">
        <f>Data!A16</f>
        <v>NA</v>
      </c>
      <c r="B16" t="str">
        <f>Data!B16</f>
        <v>NA</v>
      </c>
      <c r="C16" t="str">
        <f>Data!C16</f>
        <v>NA</v>
      </c>
      <c r="D16" s="2">
        <f>IF(ROUND(Data!E16,0)=360,0,ROUND(Data!E16,0))</f>
        <v>-1</v>
      </c>
      <c r="E16" s="2">
        <f>IF(ROUND(Data!F16,0)=360,0,ROUND(Data!F16,0))</f>
        <v>-1</v>
      </c>
      <c r="F16" s="2">
        <f>IF(ROUND(Data!D16,0)=0,0,ROUND(360-Data!D16,0))</f>
        <v>361</v>
      </c>
      <c r="G16" s="1">
        <f>Data!G16</f>
        <v>-1</v>
      </c>
      <c r="H16" s="1">
        <f>Data!H16</f>
        <v>-1</v>
      </c>
      <c r="I16" s="1">
        <f>Data!I16</f>
        <v>-1</v>
      </c>
      <c r="J16" s="1">
        <f>Data!J16</f>
        <v>-1</v>
      </c>
      <c r="K16" s="1">
        <f>Data!K16</f>
        <v>-1</v>
      </c>
      <c r="L16" s="1">
        <f>Data!L16</f>
        <v>-1</v>
      </c>
      <c r="M16" s="1">
        <f>Data!M16</f>
        <v>-1</v>
      </c>
      <c r="N16" s="1">
        <f>Data!N16</f>
        <v>-1</v>
      </c>
      <c r="O16" s="1">
        <f>Data!O16</f>
        <v>-1</v>
      </c>
      <c r="P16" s="1">
        <f>Data!P16</f>
        <v>-1</v>
      </c>
      <c r="Q16" s="1">
        <f>Data!Q16</f>
        <v>-1</v>
      </c>
      <c r="R16" s="1">
        <f>Data!R16</f>
        <v>-1</v>
      </c>
      <c r="S16" s="1">
        <f>Data!S16</f>
        <v>-1</v>
      </c>
      <c r="T16" s="1">
        <f>Data!T16</f>
        <v>-1</v>
      </c>
      <c r="U16" s="1">
        <f>Data!U16</f>
        <v>-1</v>
      </c>
      <c r="V16" t="str">
        <f>Data!V16</f>
        <v>NA</v>
      </c>
    </row>
    <row r="17" spans="1:22" x14ac:dyDescent="0.25">
      <c r="A17" t="str">
        <f>Data!A17</f>
        <v>NA</v>
      </c>
      <c r="B17" t="str">
        <f>Data!B17</f>
        <v>NA</v>
      </c>
      <c r="C17" t="str">
        <f>Data!C17</f>
        <v>NA</v>
      </c>
      <c r="D17" s="2">
        <f>IF(ROUND(Data!E17,0)=360,0,ROUND(Data!E17,0))</f>
        <v>-1</v>
      </c>
      <c r="E17" s="2">
        <f>IF(ROUND(Data!F17,0)=360,0,ROUND(Data!F17,0))</f>
        <v>-1</v>
      </c>
      <c r="F17" s="2">
        <f>IF(ROUND(Data!D17,0)=0,0,ROUND(360-Data!D17,0))</f>
        <v>361</v>
      </c>
      <c r="G17" s="1">
        <f>Data!G17</f>
        <v>-1</v>
      </c>
      <c r="H17" s="1">
        <f>Data!H17</f>
        <v>-1</v>
      </c>
      <c r="I17" s="1">
        <f>Data!I17</f>
        <v>-1</v>
      </c>
      <c r="J17" s="1">
        <f>Data!J17</f>
        <v>-1</v>
      </c>
      <c r="K17" s="1">
        <f>Data!K17</f>
        <v>-1</v>
      </c>
      <c r="L17" s="1">
        <f>Data!L17</f>
        <v>-1</v>
      </c>
      <c r="M17" s="1">
        <f>Data!M17</f>
        <v>-1</v>
      </c>
      <c r="N17" s="1">
        <f>Data!N17</f>
        <v>-1</v>
      </c>
      <c r="O17" s="1">
        <f>Data!O17</f>
        <v>-1</v>
      </c>
      <c r="P17" s="1">
        <f>Data!P17</f>
        <v>-1</v>
      </c>
      <c r="Q17" s="1">
        <f>Data!Q17</f>
        <v>-1</v>
      </c>
      <c r="R17" s="1">
        <f>Data!R17</f>
        <v>-1</v>
      </c>
      <c r="S17" s="1">
        <f>Data!S17</f>
        <v>-1</v>
      </c>
      <c r="T17" s="1">
        <f>Data!T17</f>
        <v>-1</v>
      </c>
      <c r="U17" s="1">
        <f>Data!U17</f>
        <v>-1</v>
      </c>
      <c r="V17" t="str">
        <f>Data!V17</f>
        <v>NA</v>
      </c>
    </row>
    <row r="19" spans="1:22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2" x14ac:dyDescent="0.25">
      <c r="D20" cm="1">
        <f t="array" ref="D20:H34">_xlfn.SORTBY(D3:H17,F3:F17,1,D3:D17,1,E3:E17,1)</f>
        <v>-1</v>
      </c>
      <c r="E20">
        <v>-1</v>
      </c>
      <c r="F20">
        <v>361</v>
      </c>
      <c r="G20" s="1">
        <v>-1</v>
      </c>
      <c r="H20" s="1">
        <v>-1</v>
      </c>
    </row>
    <row r="21" spans="1:22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2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2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2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2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2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2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2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2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2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2" x14ac:dyDescent="0.25">
      <c r="D31">
        <v>-1</v>
      </c>
      <c r="E31">
        <v>-1</v>
      </c>
      <c r="F31">
        <v>361</v>
      </c>
      <c r="G31" s="1">
        <v>-1</v>
      </c>
      <c r="H31" s="1">
        <v>-1</v>
      </c>
    </row>
    <row r="32" spans="1:22" x14ac:dyDescent="0.25">
      <c r="D32">
        <v>-1</v>
      </c>
      <c r="E32">
        <v>-1</v>
      </c>
      <c r="F32">
        <v>361</v>
      </c>
      <c r="G32" s="1">
        <v>-1</v>
      </c>
      <c r="H32" s="1">
        <v>-1</v>
      </c>
    </row>
    <row r="33" spans="4:8" x14ac:dyDescent="0.25">
      <c r="D33">
        <v>-1</v>
      </c>
      <c r="E33">
        <v>-1</v>
      </c>
      <c r="F33">
        <v>361</v>
      </c>
      <c r="G33" s="1">
        <v>-1</v>
      </c>
      <c r="H33" s="1">
        <v>-1</v>
      </c>
    </row>
    <row r="34" spans="4:8" x14ac:dyDescent="0.25">
      <c r="D34">
        <v>-1</v>
      </c>
      <c r="E34">
        <v>-1</v>
      </c>
      <c r="F34">
        <v>361</v>
      </c>
      <c r="G34" s="1">
        <v>-1</v>
      </c>
      <c r="H34" s="1">
        <v>-1</v>
      </c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I14" sqref="I14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112</v>
      </c>
      <c r="N6" s="34" t="s">
        <v>113</v>
      </c>
      <c r="O6" s="34" t="s">
        <v>114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111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6" t="s">
        <v>83</v>
      </c>
      <c r="P12" s="46"/>
      <c r="Q12" s="13" t="s">
        <v>79</v>
      </c>
      <c r="R12" s="4">
        <f>MAX(R14:R20)</f>
        <v>0</v>
      </c>
      <c r="S12" t="s">
        <v>115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20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P14:Q20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20" si="5">IF(D15="","",-D15)</f>
        <v/>
      </c>
      <c r="G15" s="1" t="str">
        <f t="shared" ref="G15:G20" si="6">IF(E15="","",-E15)</f>
        <v/>
      </c>
      <c r="H15" s="1" t="e">
        <f t="shared" ref="H15:H19" si="7">F$14-F15</f>
        <v>#VALUE!</v>
      </c>
      <c r="I15" s="1" t="e">
        <f t="shared" ref="I15:I20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20" si="9">L$14*COS(C15*PI()/180)+M$14*SIN(C15*PI()/180)</f>
        <v>-1.0173001015936742</v>
      </c>
      <c r="M15" s="6">
        <f t="shared" ref="M15:M20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A17">
        <f>Preprocess!D31</f>
        <v>-1</v>
      </c>
      <c r="B17">
        <f>Preprocess!E31</f>
        <v>-1</v>
      </c>
      <c r="C17">
        <f>Preprocess!F31</f>
        <v>361</v>
      </c>
      <c r="D17" s="1" t="str">
        <f>IF(AND($A17=180,$B17=270),Preprocess!G31,"")</f>
        <v/>
      </c>
      <c r="E17" s="1" t="str">
        <f>IF(AND($A17=180,$B17=270),Preprocess!H31,"")</f>
        <v/>
      </c>
      <c r="F17" s="1" t="str">
        <f t="shared" si="5"/>
        <v/>
      </c>
      <c r="G17" s="1" t="str">
        <f t="shared" si="6"/>
        <v/>
      </c>
      <c r="H17" s="1" t="e">
        <f t="shared" si="7"/>
        <v>#VALUE!</v>
      </c>
      <c r="I17" s="1" t="e">
        <f t="shared" si="8"/>
        <v>#VALUE!</v>
      </c>
      <c r="J17" s="1" t="e">
        <f t="shared" si="3"/>
        <v>#VALUE!</v>
      </c>
      <c r="K17" s="1" t="e">
        <f t="shared" si="3"/>
        <v>#VALUE!</v>
      </c>
      <c r="L17" s="7">
        <f t="shared" si="9"/>
        <v>-1.0173001015936742</v>
      </c>
      <c r="M17" s="8">
        <f t="shared" si="10"/>
        <v>-0.9823952887191082</v>
      </c>
      <c r="P17" s="7" t="e">
        <f t="shared" si="4"/>
        <v>#VALUE!</v>
      </c>
      <c r="Q17" s="8" t="e">
        <f t="shared" si="4"/>
        <v>#VALUE!</v>
      </c>
      <c r="R17" s="12" t="str">
        <f t="shared" si="11"/>
        <v/>
      </c>
      <c r="U17" s="1"/>
    </row>
    <row r="18" spans="1:21" x14ac:dyDescent="0.25">
      <c r="A18">
        <f>Preprocess!D32</f>
        <v>-1</v>
      </c>
      <c r="B18">
        <f>Preprocess!E32</f>
        <v>-1</v>
      </c>
      <c r="C18">
        <f>Preprocess!F32</f>
        <v>361</v>
      </c>
      <c r="D18" s="1" t="str">
        <f>IF(AND($A18=180,$B18=270),Preprocess!G32,"")</f>
        <v/>
      </c>
      <c r="E18" s="1" t="str">
        <f>IF(AND($A18=180,$B18=270),Preprocess!H32,"")</f>
        <v/>
      </c>
      <c r="F18" s="1" t="str">
        <f t="shared" si="5"/>
        <v/>
      </c>
      <c r="G18" s="1" t="str">
        <f t="shared" si="6"/>
        <v/>
      </c>
      <c r="H18" s="1" t="e">
        <f t="shared" si="7"/>
        <v>#VALUE!</v>
      </c>
      <c r="I18" s="1" t="e">
        <f t="shared" si="8"/>
        <v>#VALUE!</v>
      </c>
      <c r="J18" s="1" t="e">
        <f t="shared" si="3"/>
        <v>#VALUE!</v>
      </c>
      <c r="K18" s="1" t="e">
        <f t="shared" si="3"/>
        <v>#VALUE!</v>
      </c>
      <c r="L18" s="7">
        <f t="shared" si="9"/>
        <v>-1.0173001015936742</v>
      </c>
      <c r="M18" s="8">
        <f t="shared" si="10"/>
        <v>-0.9823952887191082</v>
      </c>
      <c r="P18" s="7" t="e">
        <f t="shared" si="4"/>
        <v>#VALUE!</v>
      </c>
      <c r="Q18" s="8" t="e">
        <f t="shared" si="4"/>
        <v>#VALUE!</v>
      </c>
      <c r="R18" s="12" t="str">
        <f t="shared" si="11"/>
        <v/>
      </c>
      <c r="U18" s="1"/>
    </row>
    <row r="19" spans="1:21" x14ac:dyDescent="0.25">
      <c r="A19">
        <f>Preprocess!D33</f>
        <v>-1</v>
      </c>
      <c r="B19">
        <f>Preprocess!E33</f>
        <v>-1</v>
      </c>
      <c r="C19">
        <f>Preprocess!F33</f>
        <v>361</v>
      </c>
      <c r="D19" s="1" t="str">
        <f>IF(AND($A19=180,$B19=270),Preprocess!G33,"")</f>
        <v/>
      </c>
      <c r="E19" s="1" t="str">
        <f>IF(AND($A19=180,$B19=270),Preprocess!H33,"")</f>
        <v/>
      </c>
      <c r="F19" s="1" t="str">
        <f t="shared" si="5"/>
        <v/>
      </c>
      <c r="G19" s="1" t="str">
        <f t="shared" si="6"/>
        <v/>
      </c>
      <c r="H19" s="1" t="e">
        <f t="shared" si="7"/>
        <v>#VALUE!</v>
      </c>
      <c r="I19" s="1" t="e">
        <f t="shared" si="8"/>
        <v>#VALUE!</v>
      </c>
      <c r="J19" s="1" t="e">
        <f t="shared" si="3"/>
        <v>#VALUE!</v>
      </c>
      <c r="K19" s="1" t="e">
        <f t="shared" si="3"/>
        <v>#VALUE!</v>
      </c>
      <c r="L19" s="7">
        <f t="shared" si="9"/>
        <v>-1.0173001015936742</v>
      </c>
      <c r="M19" s="8">
        <f t="shared" si="10"/>
        <v>-0.9823952887191082</v>
      </c>
      <c r="P19" s="7" t="e">
        <f t="shared" si="4"/>
        <v>#VALUE!</v>
      </c>
      <c r="Q19" s="8" t="e">
        <f t="shared" si="4"/>
        <v>#VALUE!</v>
      </c>
      <c r="R19" s="12" t="str">
        <f t="shared" si="11"/>
        <v/>
      </c>
      <c r="U19" s="1"/>
    </row>
    <row r="20" spans="1:21" ht="15.75" thickBot="1" x14ac:dyDescent="0.3">
      <c r="A20">
        <f>Preprocess!D34</f>
        <v>-1</v>
      </c>
      <c r="B20">
        <f>Preprocess!E34</f>
        <v>-1</v>
      </c>
      <c r="C20">
        <f>Preprocess!F34</f>
        <v>361</v>
      </c>
      <c r="D20" s="1" t="str">
        <f>IF(AND($A20=180,$B20=270),Preprocess!G34,"")</f>
        <v/>
      </c>
      <c r="E20" s="1" t="str">
        <f>IF(AND($A20=180,$B20=270),Preprocess!H34,"")</f>
        <v/>
      </c>
      <c r="F20" s="1" t="str">
        <f t="shared" si="5"/>
        <v/>
      </c>
      <c r="G20" s="1" t="str">
        <f t="shared" si="6"/>
        <v/>
      </c>
      <c r="H20" s="1" t="e">
        <f>F$14-F20</f>
        <v>#VALUE!</v>
      </c>
      <c r="I20" s="1" t="e">
        <f t="shared" si="8"/>
        <v>#VALUE!</v>
      </c>
      <c r="J20" s="1" t="e">
        <f t="shared" si="3"/>
        <v>#VALUE!</v>
      </c>
      <c r="K20" s="1" t="e">
        <f t="shared" si="3"/>
        <v>#VALUE!</v>
      </c>
      <c r="L20" s="9">
        <f t="shared" si="9"/>
        <v>-1.0173001015936742</v>
      </c>
      <c r="M20" s="10">
        <f t="shared" si="10"/>
        <v>-0.9823952887191082</v>
      </c>
      <c r="P20" s="9" t="e">
        <f t="shared" si="4"/>
        <v>#VALUE!</v>
      </c>
      <c r="Q20" s="10" t="e">
        <f t="shared" si="4"/>
        <v>#VALUE!</v>
      </c>
      <c r="R20" s="12" t="str">
        <f t="shared" si="11"/>
        <v/>
      </c>
      <c r="U20" s="1"/>
    </row>
    <row r="21" spans="1:21" x14ac:dyDescent="0.25">
      <c r="L21" s="42" t="s">
        <v>80</v>
      </c>
      <c r="M21" s="43"/>
      <c r="P21" s="42" t="s">
        <v>81</v>
      </c>
      <c r="Q21" s="43"/>
      <c r="R21" s="42" t="s">
        <v>82</v>
      </c>
      <c r="S21" s="43"/>
    </row>
    <row r="22" spans="1:21" ht="15.75" thickBot="1" x14ac:dyDescent="0.3">
      <c r="A22" t="str">
        <f>Data!A19</f>
        <v>ballCBCT</v>
      </c>
      <c r="L22" s="44"/>
      <c r="M22" s="45"/>
      <c r="P22" s="44"/>
      <c r="Q22" s="45"/>
      <c r="R22" s="44"/>
      <c r="S22" s="45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E11" sqref="E11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7" t="s">
        <v>119</v>
      </c>
      <c r="I2" s="47"/>
      <c r="J2" s="47"/>
      <c r="K2" s="47"/>
      <c r="L2" s="35">
        <f>MAX(L4:L6)</f>
        <v>0</v>
      </c>
      <c r="M2" t="s">
        <v>120</v>
      </c>
    </row>
    <row r="3" spans="1:13" x14ac:dyDescent="0.25">
      <c r="A3" t="s">
        <v>107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116</v>
      </c>
      <c r="K3" s="22" t="s">
        <v>117</v>
      </c>
      <c r="L3" s="22" t="s">
        <v>118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N28" sqref="N28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123</v>
      </c>
    </row>
    <row r="12" spans="3:6" x14ac:dyDescent="0.25">
      <c r="D12">
        <v>6</v>
      </c>
      <c r="E12" t="s">
        <v>124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121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125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2025-02-19T00:15:44Z</dcterms:modified>
</cp:coreProperties>
</file>