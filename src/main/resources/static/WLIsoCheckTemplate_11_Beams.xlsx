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mhealth-my.sharepoint.com/personal/irrer_med_umich_edu/Documents/tmp/WLExcel/"/>
    </mc:Choice>
  </mc:AlternateContent>
  <xr:revisionPtr revIDLastSave="27" documentId="13_ncr:1_{A375CB0D-C387-433F-AF2F-3E7CCD7826A1}" xr6:coauthVersionLast="47" xr6:coauthVersionMax="47" xr10:uidLastSave="{3AD950DD-1DF5-44BF-A7DA-54D8C9DE1BD8}"/>
  <bookViews>
    <workbookView xWindow="-120" yWindow="-120" windowWidth="29040" windowHeight="17520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Analysis!$L$14:$O$14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ng" localSheetId="0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Analysis!$L$14</definedName>
    <definedName name="solver_lhs1" localSheetId="4" hidden="1">Collimator!$H$4</definedName>
    <definedName name="solver_lhs2" localSheetId="3" hidden="1">Analysis!$L$14</definedName>
    <definedName name="solver_lhs2" localSheetId="4" hidden="1">Collimator!$H$4</definedName>
    <definedName name="solver_lhs3" localSheetId="3" hidden="1">Analysis!$M$14</definedName>
    <definedName name="solver_lhs3" localSheetId="4" hidden="1">Collimator!$I$4</definedName>
    <definedName name="solver_lhs4" localSheetId="3" hidden="1">Analysis!$M$14</definedName>
    <definedName name="solver_lhs4" localSheetId="4" hidden="1">Collimator!$I$4</definedName>
    <definedName name="solver_lhs5" localSheetId="3" hidden="1">Analysis!$N$14</definedName>
    <definedName name="solver_lhs5" localSheetId="4" hidden="1">Collimator!#REF!</definedName>
    <definedName name="solver_lhs6" localSheetId="3" hidden="1">Analysis!$N$14</definedName>
    <definedName name="solver_lhs6" localSheetId="4" hidden="1">Collimator!#REF!</definedName>
    <definedName name="solver_lhs7" localSheetId="3" hidden="1">Analysis!$O$14</definedName>
    <definedName name="solver_lhs7" localSheetId="4" hidden="1">Collimator!#REF!</definedName>
    <definedName name="solver_lhs8" localSheetId="3" hidden="1">Analysis!$O$14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eg" localSheetId="0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um" localSheetId="0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Analysis!$R$12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opt" localSheetId="0" hidden="1">SNCImport!$B$6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typ" localSheetId="0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al" localSheetId="0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6" l="1"/>
  <c r="C5" i="6"/>
  <c r="C14" i="6"/>
  <c r="C13" i="6"/>
  <c r="R12" i="3"/>
  <c r="D20" i="2" a="1"/>
  <c r="D20" i="2" s="1"/>
  <c r="G4" i="2"/>
  <c r="G5" i="2"/>
  <c r="U4" i="2"/>
  <c r="U5" i="2"/>
  <c r="U6" i="2"/>
  <c r="U7" i="2"/>
  <c r="U8" i="2"/>
  <c r="U9" i="2"/>
  <c r="U10" i="2"/>
  <c r="U11" i="2"/>
  <c r="U12" i="2"/>
  <c r="U13" i="2"/>
  <c r="T4" i="2"/>
  <c r="T5" i="2"/>
  <c r="T6" i="2"/>
  <c r="T7" i="2"/>
  <c r="T8" i="2"/>
  <c r="T9" i="2"/>
  <c r="T10" i="2"/>
  <c r="T11" i="2"/>
  <c r="T12" i="2"/>
  <c r="T13" i="2"/>
  <c r="S4" i="2"/>
  <c r="S5" i="2"/>
  <c r="S6" i="2"/>
  <c r="S7" i="2"/>
  <c r="S8" i="2"/>
  <c r="S9" i="2"/>
  <c r="S10" i="2"/>
  <c r="S11" i="2"/>
  <c r="S12" i="2"/>
  <c r="S13" i="2"/>
  <c r="R4" i="2"/>
  <c r="R5" i="2"/>
  <c r="R6" i="2"/>
  <c r="R7" i="2"/>
  <c r="R8" i="2"/>
  <c r="R9" i="2"/>
  <c r="R10" i="2"/>
  <c r="R11" i="2"/>
  <c r="R12" i="2"/>
  <c r="R13" i="2"/>
  <c r="Q4" i="2"/>
  <c r="Q5" i="2"/>
  <c r="Q6" i="2"/>
  <c r="Q7" i="2"/>
  <c r="Q8" i="2"/>
  <c r="Q9" i="2"/>
  <c r="Q10" i="2"/>
  <c r="Q11" i="2"/>
  <c r="Q12" i="2"/>
  <c r="Q13" i="2"/>
  <c r="P4" i="2"/>
  <c r="P5" i="2"/>
  <c r="P6" i="2"/>
  <c r="P7" i="2"/>
  <c r="P8" i="2"/>
  <c r="P9" i="2"/>
  <c r="P10" i="2"/>
  <c r="P11" i="2"/>
  <c r="P12" i="2"/>
  <c r="P13" i="2"/>
  <c r="O4" i="2"/>
  <c r="O5" i="2"/>
  <c r="O6" i="2"/>
  <c r="O7" i="2"/>
  <c r="O8" i="2"/>
  <c r="O9" i="2"/>
  <c r="O10" i="2"/>
  <c r="O11" i="2"/>
  <c r="O12" i="2"/>
  <c r="O13" i="2"/>
  <c r="N4" i="2"/>
  <c r="N5" i="2"/>
  <c r="N6" i="2"/>
  <c r="N7" i="2"/>
  <c r="N8" i="2"/>
  <c r="N9" i="2"/>
  <c r="N10" i="2"/>
  <c r="N11" i="2"/>
  <c r="N12" i="2"/>
  <c r="N13" i="2"/>
  <c r="M4" i="2"/>
  <c r="M5" i="2"/>
  <c r="M6" i="2"/>
  <c r="M7" i="2"/>
  <c r="M8" i="2"/>
  <c r="M9" i="2"/>
  <c r="M10" i="2"/>
  <c r="M11" i="2"/>
  <c r="M12" i="2"/>
  <c r="M13" i="2"/>
  <c r="L4" i="2"/>
  <c r="L5" i="2"/>
  <c r="L6" i="2"/>
  <c r="L7" i="2"/>
  <c r="L8" i="2"/>
  <c r="L9" i="2"/>
  <c r="L10" i="2"/>
  <c r="L11" i="2"/>
  <c r="L12" i="2"/>
  <c r="L13" i="2"/>
  <c r="K4" i="2"/>
  <c r="K5" i="2"/>
  <c r="K6" i="2"/>
  <c r="K7" i="2"/>
  <c r="K8" i="2"/>
  <c r="K9" i="2"/>
  <c r="K10" i="2"/>
  <c r="K11" i="2"/>
  <c r="K12" i="2"/>
  <c r="K13" i="2"/>
  <c r="J4" i="2"/>
  <c r="J5" i="2"/>
  <c r="J6" i="2"/>
  <c r="J7" i="2"/>
  <c r="J8" i="2"/>
  <c r="J9" i="2"/>
  <c r="J10" i="2"/>
  <c r="J11" i="2"/>
  <c r="J12" i="2"/>
  <c r="J13" i="2"/>
  <c r="I4" i="2"/>
  <c r="I5" i="2"/>
  <c r="I6" i="2"/>
  <c r="I7" i="2"/>
  <c r="I8" i="2"/>
  <c r="I9" i="2"/>
  <c r="I10" i="2"/>
  <c r="I11" i="2"/>
  <c r="I12" i="2"/>
  <c r="I13" i="2"/>
  <c r="H4" i="2"/>
  <c r="H5" i="2"/>
  <c r="H6" i="2"/>
  <c r="H7" i="2"/>
  <c r="H8" i="2"/>
  <c r="H9" i="2"/>
  <c r="H10" i="2"/>
  <c r="H11" i="2"/>
  <c r="H12" i="2"/>
  <c r="H13" i="2"/>
  <c r="G6" i="2"/>
  <c r="G7" i="2"/>
  <c r="G8" i="2"/>
  <c r="G9" i="2"/>
  <c r="G10" i="2"/>
  <c r="G11" i="2"/>
  <c r="G12" i="2"/>
  <c r="G1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V5" i="3" l="1"/>
  <c r="X5" i="3"/>
  <c r="A22" i="3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12" i="2"/>
  <c r="E13" i="2"/>
  <c r="E3" i="2"/>
  <c r="D5" i="2"/>
  <c r="D6" i="2"/>
  <c r="D7" i="2"/>
  <c r="D8" i="2"/>
  <c r="D9" i="2"/>
  <c r="D10" i="2"/>
  <c r="D11" i="2"/>
  <c r="D12" i="2"/>
  <c r="D13" i="2"/>
  <c r="F4" i="2" l="1"/>
  <c r="F5" i="2"/>
  <c r="F6" i="2"/>
  <c r="F7" i="2"/>
  <c r="F8" i="2"/>
  <c r="F9" i="2"/>
  <c r="F10" i="2"/>
  <c r="F11" i="2"/>
  <c r="F12" i="2"/>
  <c r="F13" i="2"/>
  <c r="F3" i="2"/>
  <c r="V4" i="2" l="1"/>
  <c r="V5" i="2"/>
  <c r="V6" i="2"/>
  <c r="V7" i="2"/>
  <c r="V8" i="2"/>
  <c r="V9" i="2"/>
  <c r="V10" i="2"/>
  <c r="V11" i="2"/>
  <c r="V12" i="2"/>
  <c r="V13" i="2"/>
  <c r="V3" i="2"/>
  <c r="C4" i="2"/>
  <c r="C5" i="2"/>
  <c r="C6" i="2"/>
  <c r="C7" i="2"/>
  <c r="C8" i="2"/>
  <c r="C9" i="2"/>
  <c r="C10" i="2"/>
  <c r="C11" i="2"/>
  <c r="C12" i="2"/>
  <c r="C13" i="2"/>
  <c r="B3" i="2"/>
  <c r="B4" i="2"/>
  <c r="B5" i="2"/>
  <c r="B6" i="2"/>
  <c r="B7" i="2"/>
  <c r="B8" i="2"/>
  <c r="B9" i="2"/>
  <c r="B10" i="2"/>
  <c r="B11" i="2"/>
  <c r="B12" i="2"/>
  <c r="B13" i="2"/>
  <c r="A3" i="2"/>
  <c r="A4" i="2"/>
  <c r="A5" i="2"/>
  <c r="A6" i="2"/>
  <c r="A7" i="2"/>
  <c r="A8" i="2"/>
  <c r="A9" i="2"/>
  <c r="A10" i="2"/>
  <c r="A11" i="2"/>
  <c r="A12" i="2"/>
  <c r="A13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A3" i="3" l="1"/>
  <c r="C4" i="3"/>
  <c r="C10" i="3"/>
  <c r="C15" i="3"/>
  <c r="C5" i="8"/>
  <c r="B5" i="3"/>
  <c r="C7" i="3"/>
  <c r="C11" i="3"/>
  <c r="A8" i="3"/>
  <c r="A14" i="3"/>
  <c r="B8" i="3"/>
  <c r="A6" i="3"/>
  <c r="C14" i="3"/>
  <c r="A5" i="3"/>
  <c r="A7" i="3"/>
  <c r="A11" i="3"/>
  <c r="B5" i="8"/>
  <c r="B7" i="3"/>
  <c r="B11" i="3"/>
  <c r="A5" i="8"/>
  <c r="C5" i="3"/>
  <c r="A16" i="3"/>
  <c r="C4" i="8"/>
  <c r="B16" i="3"/>
  <c r="B4" i="8"/>
  <c r="B3" i="3"/>
  <c r="B14" i="3"/>
  <c r="C16" i="3"/>
  <c r="A4" i="8"/>
  <c r="C8" i="3"/>
  <c r="B6" i="3"/>
  <c r="A9" i="3"/>
  <c r="C6" i="3"/>
  <c r="B9" i="3"/>
  <c r="C9" i="3"/>
  <c r="C6" i="8"/>
  <c r="A4" i="3"/>
  <c r="A10" i="3"/>
  <c r="A15" i="3"/>
  <c r="B6" i="8"/>
  <c r="B4" i="3"/>
  <c r="B10" i="3"/>
  <c r="B15" i="3"/>
  <c r="A6" i="8"/>
  <c r="D15" i="3" l="1"/>
  <c r="F15" i="3" s="1"/>
  <c r="E15" i="3"/>
  <c r="G15" i="3" s="1"/>
  <c r="D14" i="3"/>
  <c r="F14" i="3" s="1"/>
  <c r="E14" i="3"/>
  <c r="G14" i="3" s="1"/>
  <c r="D3" i="3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M16" i="3"/>
  <c r="L16" i="3"/>
  <c r="D11" i="3"/>
  <c r="G11" i="3" s="1"/>
  <c r="E11" i="3"/>
  <c r="H11" i="3" s="1"/>
  <c r="E6" i="8"/>
  <c r="G6" i="8" s="1"/>
  <c r="K6" i="8" s="1"/>
  <c r="D6" i="8"/>
  <c r="F6" i="8" s="1"/>
  <c r="J6" i="8" s="1"/>
  <c r="D7" i="3"/>
  <c r="F7" i="3" s="1"/>
  <c r="E7" i="3"/>
  <c r="H7" i="3" s="1"/>
  <c r="D5" i="3"/>
  <c r="G5" i="3" s="1"/>
  <c r="E5" i="3"/>
  <c r="H5" i="3" s="1"/>
  <c r="D6" i="3"/>
  <c r="G6" i="3" s="1"/>
  <c r="E6" i="3"/>
  <c r="H6" i="3" s="1"/>
  <c r="D16" i="3"/>
  <c r="F16" i="3" s="1"/>
  <c r="E16" i="3"/>
  <c r="G16" i="3" s="1"/>
  <c r="M15" i="3"/>
  <c r="L15" i="3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I14" i="3"/>
  <c r="K14" i="3" s="1"/>
  <c r="Q14" i="3" s="1"/>
  <c r="I16" i="3"/>
  <c r="K16" i="3" s="1"/>
  <c r="Q16" i="3" s="1"/>
  <c r="H16" i="3"/>
  <c r="J16" i="3" s="1"/>
  <c r="P16" i="3" s="1"/>
  <c r="H14" i="3"/>
  <c r="J14" i="3" s="1"/>
  <c r="H15" i="3"/>
  <c r="J15" i="3" s="1"/>
  <c r="P15" i="3" s="1"/>
  <c r="K10" i="3"/>
  <c r="R10" i="3" s="1"/>
  <c r="I3" i="3"/>
  <c r="Q4" i="3" s="1"/>
  <c r="F5" i="8"/>
  <c r="J5" i="8" s="1"/>
  <c r="L5" i="8" s="1"/>
  <c r="I15" i="3"/>
  <c r="K15" i="3" s="1"/>
  <c r="Q15" i="3" s="1"/>
  <c r="L4" i="8"/>
  <c r="K5" i="3"/>
  <c r="R6" i="3" s="1"/>
  <c r="K8" i="3"/>
  <c r="R9" i="3" s="1"/>
  <c r="Q11" i="3" l="1"/>
  <c r="R8" i="3"/>
  <c r="Q8" i="3"/>
  <c r="R16" i="3"/>
  <c r="R11" i="3"/>
  <c r="R20" i="3"/>
  <c r="Q3" i="3"/>
  <c r="R19" i="3"/>
  <c r="R7" i="3"/>
  <c r="R17" i="3"/>
  <c r="Q7" i="3"/>
  <c r="N3" i="3"/>
  <c r="X4" i="3" s="1"/>
  <c r="O3" i="3"/>
  <c r="O7" i="3"/>
  <c r="R18" i="3"/>
  <c r="R5" i="3"/>
  <c r="M3" i="3"/>
  <c r="W4" i="3" s="1"/>
  <c r="N7" i="3"/>
  <c r="R15" i="3"/>
  <c r="R4" i="3"/>
  <c r="K12" i="3"/>
  <c r="P14" i="3"/>
  <c r="R14" i="3" s="1"/>
  <c r="R3" i="3"/>
  <c r="L3" i="3"/>
  <c r="M7" i="3"/>
  <c r="L2" i="8"/>
  <c r="C12" i="6" s="1"/>
  <c r="Q6" i="3"/>
  <c r="Q5" i="3"/>
  <c r="S4" i="3" l="1"/>
  <c r="T4" i="3"/>
  <c r="S3" i="3"/>
  <c r="O8" i="3"/>
  <c r="C11" i="6" s="1"/>
  <c r="P3" i="3"/>
  <c r="V4" i="3"/>
  <c r="C7" i="6"/>
  <c r="H4" i="4"/>
  <c r="T3" i="3"/>
  <c r="E4" i="4"/>
  <c r="G4" i="4"/>
  <c r="C4" i="6"/>
  <c r="C3" i="6"/>
  <c r="D4" i="4"/>
  <c r="S2" i="3" l="1"/>
  <c r="T2" i="3"/>
  <c r="T1" i="3" s="1"/>
  <c r="C9" i="6" s="1"/>
  <c r="K4" i="4"/>
  <c r="C10" i="6"/>
  <c r="F4" i="4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<sst xmlns="http://schemas.openxmlformats.org/spreadsheetml/2006/main" count="241" uniqueCount="134">
  <si>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</si>
  <si>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</si>
  <si>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</si>
  <si>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</si>
  <si>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</si>
  <si>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</si>
  <si>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</si>
  <si>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</si>
  <si>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</si>
  <si>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</si>
  <si>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</si>
  <si>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</si>
  <si>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</si>
  <si>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</si>
  <si>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</si>
  <si>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</si>
  <si>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</si>
  <si>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</si>
  <si>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</si>
  <si>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</si>
  <si>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</si>
  <si>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</si>
  <si>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</si>
  <si>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Table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</si>
  <si>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</si>
  <si>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</si>
  <si>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</si>
  <si>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</si>
  <si>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</si>
  <si>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</si>
  <si>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</si>
  <si>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</si>
  <si>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</si>
  <si>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</si>
  <si>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</si>
  <si>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</si>
  <si>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</si>
  <si>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</si>
  <si>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</si>
  <si>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</si>
  <si>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</si>
  <si>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BB-X</t>
  </si>
  <si>
    <t>BB-Z</t>
  </si>
  <si>
    <t>Table-X</t>
  </si>
  <si>
    <t>Table-Z</t>
  </si>
  <si>
    <t>BB-X'</t>
  </si>
  <si>
    <t>BB-Z'</t>
  </si>
  <si>
    <t>dX</t>
  </si>
  <si>
    <t>dZ</t>
  </si>
  <si>
    <t>BB-X"</t>
  </si>
  <si>
    <t>BB-Z"</t>
  </si>
  <si>
    <t>BB-R"^2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</si>
  <si>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</si>
  <si>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</si>
  <si>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</si>
  <si>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</si>
  <si>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</si>
  <si>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</si>
  <si>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</si>
  <si>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</si>
  <si>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</si>
  <si>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</si>
  <si>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</si>
  <si>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</si>
  <si>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</si>
  <si>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</si>
  <si>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</si>
  <si>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</si>
  <si>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</si>
  <si>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</si>
  <si>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</si>
  <si>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</si>
  <si>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</si>
  <si>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</si>
  <si>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</si>
  <si>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</si>
  <si>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</si>
  <si>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</si>
  <si>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</si>
  <si>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-&gt;</t>
  </si>
  <si>
    <t>Coordinates in rotated system</t>
  </si>
  <si>
    <t>BB coordinates after minimization</t>
  </si>
  <si>
    <t>sum of squars x^2 +y^2 for each table angle</t>
  </si>
  <si>
    <t>Max square of BB displacement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</si>
  <si>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</si>
  <si>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</si>
  <si>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</si>
  <si>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</si>
  <si>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</si>
  <si>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</si>
  <si>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</si>
  <si>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</si>
  <si>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</si>
  <si>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</si>
  <si>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</si>
  <si>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</si>
  <si>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</si>
  <si>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</si>
  <si>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</si>
  <si>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</si>
  <si>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</si>
  <si>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</si>
  <si>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</si>
  <si>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</si>
  <si>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</si>
  <si>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</si>
  <si>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</si>
  <si>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</si>
  <si>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</si>
  <si>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</si>
  <si>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</si>
  <si>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</si>
  <si>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</si>
  <si>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Solve for smallest max (Couch Isocentricity)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</si>
  <si>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</si>
  <si>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</si>
  <si>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</si>
  <si>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</si>
  <si>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</si>
  <si>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</si>
  <si>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</si>
  <si>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</si>
  <si>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</si>
  <si>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</si>
  <si>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</si>
  <si>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</si>
  <si>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</si>
  <si>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</si>
  <si>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CTRL-ALT-F9 and then run the solver on each of the Analysis and Collimator sheets.</t>
  </si>
  <si>
    <t>Gantry Flex (mm)</t>
  </si>
  <si>
    <t>Maximum R (mm)</t>
  </si>
  <si>
    <t>Maximum R Table 0 (mm)</t>
  </si>
  <si>
    <t>Table + Gantry Iso X (mm)</t>
  </si>
  <si>
    <t>Table + Gantry Iso Z 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</si>
</sst>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2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2" fontId="0" fillId="3" borderId="2" xfId="0" applyNumberFormat="1" applyFill="1" applyBorder="1"/>
    <xf numFmtId="2" fontId="0" fillId="4" borderId="3" xfId="0" applyNumberFormat="1" applyFill="1" applyBorder="1"/>
    <xf numFmtId="2" fontId="0" fillId="4" borderId="4" xfId="0" applyNumberFormat="1" applyFill="1" applyBorder="1"/>
    <xf numFmtId="2" fontId="0" fillId="4" borderId="5" xfId="0" applyNumberFormat="1" applyFill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4" borderId="8" xfId="0" applyNumberFormat="1" applyFill="1" applyBorder="1"/>
    <xf numFmtId="2" fontId="0" fillId="4" borderId="9" xfId="0" applyNumberFormat="1" applyFill="1" applyBorder="1"/>
    <xf numFmtId="2" fontId="0" fillId="4" borderId="10" xfId="0" applyNumberFormat="1" applyFill="1" applyBorder="1"/>
    <xf numFmtId="0" fontId="0" fillId="4" borderId="0" xfId="0" quotePrefix="1" applyFill="1"/>
    <xf numFmtId="0" fontId="0" fillId="0" borderId="3" xfId="0" applyBorder="1"/>
    <xf numFmtId="0" fontId="0" fillId="0" borderId="1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2" fontId="0" fillId="2" borderId="0" xfId="0" applyNumberFormat="1" applyFill="1" applyProtection="1">
      <protection locked="0"/>
    </xf>
    <xf numFmtId="0" fontId="5" fillId="0" borderId="0" xfId="0" applyFont="1"/>
    <xf numFmtId="0" fontId="0" fillId="0" borderId="0" xfId="0" applyProtection="1">
      <protection locked="0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Table</a:t>
            </a:r>
            <a:r>
              <a:rPr lang="en-US" baseline="0"/>
              <a:t> Wobble about Table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Analysis!$K$13</c:f>
              <c:strCache>
                <c:ptCount val="1"/>
                <c:pt idx="0">
                  <c:v>BB-Z'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Analysis!$P$14:$P$20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Analysis!$Q$14:$Q$20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E-426E-8FA0-A8F918C99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253408"/>
        <c:axId val="764257344"/>
      </c:scatterChart>
      <c:valAx>
        <c:axId val="764253408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7344"/>
        <c:crosses val="autoZero"/>
        <c:crossBetween val="midCat"/>
      </c:valAx>
      <c:valAx>
        <c:axId val="764257344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9524</xdr:colOff>
      <xdr:row>5</xdr:row>
      <xdr:rowOff>1680</xdr:rowOff>
    </xdr:from>
    <xdr:to>
      <xdr:col>10</xdr:col>
      <xdr:colOff>883023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28A91-DAB6-481C-9572-A7F8D210E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4"/>
  <sheetViews>
    <sheetView tabSelected="1" zoomScaleNormal="100" workbookViewId="0">
      <selection activeCell="B6" sqref="B6"/>
    </sheetView>
  </sheetViews>
  <sheetFormatPr defaultRowHeight="15" x14ac:dyDescent="0.25"/>
  <cols>
    <col min="2" max="2" width="21.5703125" customWidth="1"/>
    <col min="3" max="3" width="8.85546875" style="22"/>
  </cols>
  <sheetData>
    <row r="2" spans="2:3" x14ac:dyDescent="0.25">
      <c r="B2" s="33" t="s">
        <v>100</v>
      </c>
      <c r="C2" s="34" t="e">
        <f>Analysis!V3-Analysis!V$4</f>
        <v>#DIV/0!</v>
      </c>
    </row>
    <row r="3" spans="2:3" x14ac:dyDescent="0.25">
      <c r="B3" s="33" t="s">
        <v>101</v>
      </c>
      <c r="C3" s="34" t="e">
        <f>Analysis!W3-Analysis!W$4</f>
        <v>#DIV/0!</v>
      </c>
    </row>
    <row r="4" spans="2:3" x14ac:dyDescent="0.25">
      <c r="B4" s="33" t="s">
        <v>102</v>
      </c>
      <c r="C4" s="34" t="e">
        <f>Analysis!X3-Analysis!X$4</f>
        <v>#DIV/0!</v>
      </c>
    </row>
    <row r="5" spans="2:3" x14ac:dyDescent="0.25">
      <c r="B5" s="33" t="s">
        <v>132</v>
      </c>
      <c r="C5" s="34" t="e">
        <f>Analysis!V5+Analysis!V$4</f>
        <v>#DIV/0!</v>
      </c>
    </row>
    <row r="6" spans="2:3" x14ac:dyDescent="0.25">
      <c r="B6" s="33" t="s">
        <v>133</v>
      </c>
      <c r="C6" s="34" t="e">
        <f>Analysis!X5+Analysis!X$4</f>
        <v>#DIV/0!</v>
      </c>
    </row>
    <row r="7" spans="2:3" x14ac:dyDescent="0.25">
      <c r="B7" s="33" t="s">
        <v>129</v>
      </c>
      <c r="C7" s="34" t="str">
        <f>Analysis!O3</f>
        <v/>
      </c>
    </row>
    <row r="8" spans="2:3" x14ac:dyDescent="0.25">
      <c r="B8" s="33" t="s">
        <v>103</v>
      </c>
      <c r="C8" s="34" t="e">
        <f>Analysis!P3</f>
        <v>#DIV/0!</v>
      </c>
    </row>
    <row r="9" spans="2:3" x14ac:dyDescent="0.25">
      <c r="B9" s="33" t="s">
        <v>104</v>
      </c>
      <c r="C9" s="34" t="str">
        <f>Analysis!T1</f>
        <v/>
      </c>
    </row>
    <row r="10" spans="2:3" x14ac:dyDescent="0.25">
      <c r="B10" s="33" t="s">
        <v>106</v>
      </c>
      <c r="C10" s="34">
        <f>SQRT(Analysis!R12)</f>
        <v>0</v>
      </c>
    </row>
    <row r="11" spans="2:3" x14ac:dyDescent="0.25">
      <c r="B11" s="33" t="s">
        <v>107</v>
      </c>
      <c r="C11" s="34">
        <f>Analysis!O8</f>
        <v>0</v>
      </c>
    </row>
    <row r="12" spans="2:3" x14ac:dyDescent="0.25">
      <c r="B12" s="33" t="s">
        <v>108</v>
      </c>
      <c r="C12" s="34">
        <f>Collimator!L2</f>
        <v>0</v>
      </c>
    </row>
    <row r="13" spans="2:3" x14ac:dyDescent="0.25">
      <c r="B13" s="33" t="s">
        <v>130</v>
      </c>
      <c r="C13" s="34">
        <f>MAX(Data!I3:I13)</f>
        <v>-1</v>
      </c>
    </row>
    <row r="14" spans="2:3" x14ac:dyDescent="0.25">
      <c r="B14" s="33" t="s">
        <v>131</v>
      </c>
      <c r="C14" s="34">
        <f>_xlfn.MAXIFS(Preprocess!F3:I13, Preprocess!C3:F13, 0)</f>
        <v>0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G15" sqref="G15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38" t="s">
        <v>127</v>
      </c>
      <c r="B1" s="38" t="s">
        <v>125</v>
      </c>
      <c r="C1" s="38" t="s">
        <v>126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x14ac:dyDescent="0.25">
      <c r="A2" s="38" t="s">
        <v>0</v>
      </c>
      <c r="B2" s="38" t="s">
        <v>1</v>
      </c>
      <c r="C2" s="38" t="s">
        <v>2</v>
      </c>
      <c r="D2" s="38" t="s">
        <v>5</v>
      </c>
      <c r="E2" s="38" t="s">
        <v>3</v>
      </c>
      <c r="F2" s="38" t="s">
        <v>4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16</v>
      </c>
      <c r="R2" s="38" t="s">
        <v>17</v>
      </c>
      <c r="S2" s="38" t="s">
        <v>18</v>
      </c>
      <c r="T2" s="38" t="s">
        <v>19</v>
      </c>
      <c r="U2" s="38" t="s">
        <v>20</v>
      </c>
      <c r="V2" s="38" t="s">
        <v>21</v>
      </c>
      <c r="W2" s="38" t="s">
        <v>120</v>
      </c>
      <c r="X2" s="38" t="s">
        <v>97</v>
      </c>
      <c r="Y2" s="38" t="s">
        <v>98</v>
      </c>
    </row>
    <row r="3" spans="1:25" x14ac:dyDescent="0.25">
      <c r="A3" s="38" t="s">
        <v>124</v>
      </c>
      <c r="B3" s="38" t="s">
        <v>124</v>
      </c>
      <c r="C3" s="38" t="s">
        <v>124</v>
      </c>
      <c r="D3" s="38">
        <v>-1</v>
      </c>
      <c r="E3" s="38">
        <v>-1</v>
      </c>
      <c r="F3" s="38">
        <v>-1</v>
      </c>
      <c r="G3" s="38">
        <v>-1</v>
      </c>
      <c r="H3" s="38">
        <v>-1</v>
      </c>
      <c r="I3" s="38">
        <v>-1</v>
      </c>
      <c r="J3" s="38">
        <v>-1</v>
      </c>
      <c r="K3" s="38">
        <v>-1</v>
      </c>
      <c r="L3" s="38">
        <v>-1</v>
      </c>
      <c r="M3" s="38">
        <v>-1</v>
      </c>
      <c r="N3" s="38">
        <v>-1</v>
      </c>
      <c r="O3" s="38">
        <v>-1</v>
      </c>
      <c r="P3" s="38">
        <v>-1</v>
      </c>
      <c r="Q3" s="38">
        <v>-1</v>
      </c>
      <c r="R3" s="38">
        <v>-1</v>
      </c>
      <c r="S3" s="38">
        <v>-1</v>
      </c>
      <c r="T3" s="38">
        <v>-1</v>
      </c>
      <c r="U3" s="38">
        <v>-1</v>
      </c>
      <c r="V3" s="38" t="s">
        <v>124</v>
      </c>
      <c r="W3" s="38" t="s">
        <v>124</v>
      </c>
      <c r="X3" s="38" t="s">
        <v>124</v>
      </c>
      <c r="Y3" s="38" t="s">
        <v>124</v>
      </c>
    </row>
    <row r="4" spans="1:25" x14ac:dyDescent="0.25">
      <c r="A4" s="38" t="s">
        <v>124</v>
      </c>
      <c r="B4" s="38" t="s">
        <v>124</v>
      </c>
      <c r="C4" s="38" t="s">
        <v>124</v>
      </c>
      <c r="D4" s="38">
        <v>-1</v>
      </c>
      <c r="E4" s="38">
        <v>-1</v>
      </c>
      <c r="F4" s="38">
        <v>-1</v>
      </c>
      <c r="G4" s="38">
        <v>-1</v>
      </c>
      <c r="H4" s="38">
        <v>-1</v>
      </c>
      <c r="I4" s="38">
        <v>-1</v>
      </c>
      <c r="J4" s="38">
        <v>-1</v>
      </c>
      <c r="K4" s="38">
        <v>-1</v>
      </c>
      <c r="L4" s="38">
        <v>-1</v>
      </c>
      <c r="M4" s="38">
        <v>-1</v>
      </c>
      <c r="N4" s="38">
        <v>-1</v>
      </c>
      <c r="O4" s="38">
        <v>-1</v>
      </c>
      <c r="P4" s="38">
        <v>-1</v>
      </c>
      <c r="Q4" s="38">
        <v>-1</v>
      </c>
      <c r="R4" s="38">
        <v>-1</v>
      </c>
      <c r="S4" s="38">
        <v>-1</v>
      </c>
      <c r="T4" s="38">
        <v>-1</v>
      </c>
      <c r="U4" s="38">
        <v>-1</v>
      </c>
      <c r="V4" s="38" t="s">
        <v>124</v>
      </c>
      <c r="W4" s="38" t="s">
        <v>124</v>
      </c>
      <c r="X4" s="38" t="s">
        <v>124</v>
      </c>
      <c r="Y4" s="38" t="s">
        <v>124</v>
      </c>
    </row>
    <row r="5" spans="1:25" x14ac:dyDescent="0.25">
      <c r="A5" s="38" t="s">
        <v>124</v>
      </c>
      <c r="B5" s="38" t="s">
        <v>124</v>
      </c>
      <c r="C5" s="38" t="s">
        <v>124</v>
      </c>
      <c r="D5" s="38">
        <v>-1</v>
      </c>
      <c r="E5" s="38">
        <v>-1</v>
      </c>
      <c r="F5" s="38">
        <v>-1</v>
      </c>
      <c r="G5" s="38">
        <v>-1</v>
      </c>
      <c r="H5" s="38">
        <v>-1</v>
      </c>
      <c r="I5" s="38">
        <v>-1</v>
      </c>
      <c r="J5" s="38">
        <v>-1</v>
      </c>
      <c r="K5" s="38">
        <v>-1</v>
      </c>
      <c r="L5" s="38">
        <v>-1</v>
      </c>
      <c r="M5" s="38">
        <v>-1</v>
      </c>
      <c r="N5" s="38">
        <v>-1</v>
      </c>
      <c r="O5" s="38">
        <v>-1</v>
      </c>
      <c r="P5" s="38">
        <v>-1</v>
      </c>
      <c r="Q5" s="38">
        <v>-1</v>
      </c>
      <c r="R5" s="38">
        <v>-1</v>
      </c>
      <c r="S5" s="38">
        <v>-1</v>
      </c>
      <c r="T5" s="38">
        <v>-1</v>
      </c>
      <c r="U5" s="38">
        <v>-1</v>
      </c>
      <c r="V5" s="38" t="s">
        <v>124</v>
      </c>
      <c r="W5" s="38" t="s">
        <v>124</v>
      </c>
      <c r="X5" s="38" t="s">
        <v>124</v>
      </c>
      <c r="Y5" s="38" t="s">
        <v>124</v>
      </c>
    </row>
    <row r="6" spans="1:25" x14ac:dyDescent="0.25">
      <c r="A6" s="38" t="s">
        <v>124</v>
      </c>
      <c r="B6" s="38" t="s">
        <v>124</v>
      </c>
      <c r="C6" s="38" t="s">
        <v>124</v>
      </c>
      <c r="D6" s="38">
        <v>-1</v>
      </c>
      <c r="E6" s="38">
        <v>-1</v>
      </c>
      <c r="F6" s="38">
        <v>-1</v>
      </c>
      <c r="G6" s="38">
        <v>-1</v>
      </c>
      <c r="H6" s="38">
        <v>-1</v>
      </c>
      <c r="I6" s="38">
        <v>-1</v>
      </c>
      <c r="J6" s="38">
        <v>-1</v>
      </c>
      <c r="K6" s="38">
        <v>-1</v>
      </c>
      <c r="L6" s="38">
        <v>-1</v>
      </c>
      <c r="M6" s="38">
        <v>-1</v>
      </c>
      <c r="N6" s="38">
        <v>-1</v>
      </c>
      <c r="O6" s="38">
        <v>-1</v>
      </c>
      <c r="P6" s="38">
        <v>-1</v>
      </c>
      <c r="Q6" s="38">
        <v>-1</v>
      </c>
      <c r="R6" s="38">
        <v>-1</v>
      </c>
      <c r="S6" s="38">
        <v>-1</v>
      </c>
      <c r="T6" s="38">
        <v>-1</v>
      </c>
      <c r="U6" s="38">
        <v>-1</v>
      </c>
      <c r="V6" s="38" t="s">
        <v>124</v>
      </c>
      <c r="W6" s="38" t="s">
        <v>124</v>
      </c>
      <c r="X6" s="38" t="s">
        <v>124</v>
      </c>
      <c r="Y6" s="38" t="s">
        <v>124</v>
      </c>
    </row>
    <row r="7" spans="1:25" x14ac:dyDescent="0.25">
      <c r="A7" s="38" t="s">
        <v>124</v>
      </c>
      <c r="B7" s="38" t="s">
        <v>124</v>
      </c>
      <c r="C7" s="38" t="s">
        <v>124</v>
      </c>
      <c r="D7" s="38">
        <v>-1</v>
      </c>
      <c r="E7" s="38">
        <v>-1</v>
      </c>
      <c r="F7" s="38">
        <v>-1</v>
      </c>
      <c r="G7" s="38">
        <v>-1</v>
      </c>
      <c r="H7" s="38">
        <v>-1</v>
      </c>
      <c r="I7" s="38">
        <v>-1</v>
      </c>
      <c r="J7" s="38">
        <v>-1</v>
      </c>
      <c r="K7" s="38">
        <v>-1</v>
      </c>
      <c r="L7" s="38">
        <v>-1</v>
      </c>
      <c r="M7" s="38">
        <v>-1</v>
      </c>
      <c r="N7" s="38">
        <v>-1</v>
      </c>
      <c r="O7" s="38">
        <v>-1</v>
      </c>
      <c r="P7" s="38">
        <v>-1</v>
      </c>
      <c r="Q7" s="38">
        <v>-1</v>
      </c>
      <c r="R7" s="38">
        <v>-1</v>
      </c>
      <c r="S7" s="38">
        <v>-1</v>
      </c>
      <c r="T7" s="38">
        <v>-1</v>
      </c>
      <c r="U7" s="38">
        <v>-1</v>
      </c>
      <c r="V7" s="38" t="s">
        <v>124</v>
      </c>
      <c r="W7" s="38" t="s">
        <v>124</v>
      </c>
      <c r="X7" s="38" t="s">
        <v>124</v>
      </c>
      <c r="Y7" s="38" t="s">
        <v>124</v>
      </c>
    </row>
    <row r="8" spans="1:25" x14ac:dyDescent="0.25">
      <c r="A8" s="38" t="s">
        <v>124</v>
      </c>
      <c r="B8" s="38" t="s">
        <v>124</v>
      </c>
      <c r="C8" s="38" t="s">
        <v>124</v>
      </c>
      <c r="D8" s="38">
        <v>-1</v>
      </c>
      <c r="E8" s="38">
        <v>-1</v>
      </c>
      <c r="F8" s="38">
        <v>-1</v>
      </c>
      <c r="G8" s="38">
        <v>-1</v>
      </c>
      <c r="H8" s="38">
        <v>-1</v>
      </c>
      <c r="I8" s="38">
        <v>-1</v>
      </c>
      <c r="J8" s="38">
        <v>-1</v>
      </c>
      <c r="K8" s="38">
        <v>-1</v>
      </c>
      <c r="L8" s="38">
        <v>-1</v>
      </c>
      <c r="M8" s="38">
        <v>-1</v>
      </c>
      <c r="N8" s="38">
        <v>-1</v>
      </c>
      <c r="O8" s="38">
        <v>-1</v>
      </c>
      <c r="P8" s="38">
        <v>-1</v>
      </c>
      <c r="Q8" s="38">
        <v>-1</v>
      </c>
      <c r="R8" s="38">
        <v>-1</v>
      </c>
      <c r="S8" s="38">
        <v>-1</v>
      </c>
      <c r="T8" s="38">
        <v>-1</v>
      </c>
      <c r="U8" s="38">
        <v>-1</v>
      </c>
      <c r="V8" s="38" t="s">
        <v>124</v>
      </c>
      <c r="W8" s="38" t="s">
        <v>124</v>
      </c>
      <c r="X8" s="38" t="s">
        <v>124</v>
      </c>
      <c r="Y8" s="38" t="s">
        <v>124</v>
      </c>
    </row>
    <row r="9" spans="1:25" x14ac:dyDescent="0.25">
      <c r="A9" s="38" t="s">
        <v>124</v>
      </c>
      <c r="B9" s="38" t="s">
        <v>124</v>
      </c>
      <c r="C9" s="38" t="s">
        <v>124</v>
      </c>
      <c r="D9" s="38">
        <v>-1</v>
      </c>
      <c r="E9" s="38">
        <v>-1</v>
      </c>
      <c r="F9" s="38">
        <v>-1</v>
      </c>
      <c r="G9" s="38">
        <v>-1</v>
      </c>
      <c r="H9" s="38">
        <v>-1</v>
      </c>
      <c r="I9" s="38">
        <v>-1</v>
      </c>
      <c r="J9" s="38">
        <v>-1</v>
      </c>
      <c r="K9" s="38">
        <v>-1</v>
      </c>
      <c r="L9" s="38">
        <v>-1</v>
      </c>
      <c r="M9" s="38">
        <v>-1</v>
      </c>
      <c r="N9" s="38">
        <v>-1</v>
      </c>
      <c r="O9" s="38">
        <v>-1</v>
      </c>
      <c r="P9" s="38">
        <v>-1</v>
      </c>
      <c r="Q9" s="38">
        <v>-1</v>
      </c>
      <c r="R9" s="38">
        <v>-1</v>
      </c>
      <c r="S9" s="38">
        <v>-1</v>
      </c>
      <c r="T9" s="38">
        <v>-1</v>
      </c>
      <c r="U9" s="38">
        <v>-1</v>
      </c>
      <c r="V9" s="38" t="s">
        <v>124</v>
      </c>
      <c r="W9" s="38" t="s">
        <v>124</v>
      </c>
      <c r="X9" s="38" t="s">
        <v>124</v>
      </c>
      <c r="Y9" s="38" t="s">
        <v>124</v>
      </c>
    </row>
    <row r="10" spans="1:25" x14ac:dyDescent="0.25">
      <c r="A10" s="38" t="s">
        <v>124</v>
      </c>
      <c r="B10" s="38" t="s">
        <v>124</v>
      </c>
      <c r="C10" s="38" t="s">
        <v>124</v>
      </c>
      <c r="D10" s="38">
        <v>-1</v>
      </c>
      <c r="E10" s="38">
        <v>-1</v>
      </c>
      <c r="F10" s="38">
        <v>-1</v>
      </c>
      <c r="G10" s="38">
        <v>-1</v>
      </c>
      <c r="H10" s="38">
        <v>-1</v>
      </c>
      <c r="I10" s="38">
        <v>-1</v>
      </c>
      <c r="J10" s="38">
        <v>-1</v>
      </c>
      <c r="K10" s="38">
        <v>-1</v>
      </c>
      <c r="L10" s="38">
        <v>-1</v>
      </c>
      <c r="M10" s="38">
        <v>-1</v>
      </c>
      <c r="N10" s="38">
        <v>-1</v>
      </c>
      <c r="O10" s="38">
        <v>-1</v>
      </c>
      <c r="P10" s="38">
        <v>-1</v>
      </c>
      <c r="Q10" s="38">
        <v>-1</v>
      </c>
      <c r="R10" s="38">
        <v>-1</v>
      </c>
      <c r="S10" s="38">
        <v>-1</v>
      </c>
      <c r="T10" s="38">
        <v>-1</v>
      </c>
      <c r="U10" s="38">
        <v>-1</v>
      </c>
      <c r="V10" s="38" t="s">
        <v>124</v>
      </c>
      <c r="W10" s="38" t="s">
        <v>124</v>
      </c>
      <c r="X10" s="38" t="s">
        <v>124</v>
      </c>
      <c r="Y10" s="38" t="s">
        <v>124</v>
      </c>
    </row>
    <row r="11" spans="1:25" x14ac:dyDescent="0.25">
      <c r="A11" s="38" t="s">
        <v>124</v>
      </c>
      <c r="B11" s="38" t="s">
        <v>124</v>
      </c>
      <c r="C11" s="38" t="s">
        <v>124</v>
      </c>
      <c r="D11" s="38">
        <v>-1</v>
      </c>
      <c r="E11" s="38">
        <v>-1</v>
      </c>
      <c r="F11" s="38">
        <v>-1</v>
      </c>
      <c r="G11" s="38">
        <v>-1</v>
      </c>
      <c r="H11" s="38">
        <v>-1</v>
      </c>
      <c r="I11" s="38">
        <v>-1</v>
      </c>
      <c r="J11" s="38">
        <v>-1</v>
      </c>
      <c r="K11" s="38">
        <v>-1</v>
      </c>
      <c r="L11" s="38">
        <v>-1</v>
      </c>
      <c r="M11" s="38">
        <v>-1</v>
      </c>
      <c r="N11" s="38">
        <v>-1</v>
      </c>
      <c r="O11" s="38">
        <v>-1</v>
      </c>
      <c r="P11" s="38">
        <v>-1</v>
      </c>
      <c r="Q11" s="38">
        <v>-1</v>
      </c>
      <c r="R11" s="38">
        <v>-1</v>
      </c>
      <c r="S11" s="38">
        <v>-1</v>
      </c>
      <c r="T11" s="38">
        <v>-1</v>
      </c>
      <c r="U11" s="38">
        <v>-1</v>
      </c>
      <c r="V11" s="38" t="s">
        <v>124</v>
      </c>
      <c r="W11" s="38" t="s">
        <v>124</v>
      </c>
      <c r="X11" s="38" t="s">
        <v>124</v>
      </c>
      <c r="Y11" s="38" t="s">
        <v>124</v>
      </c>
    </row>
    <row r="12" spans="1:25" x14ac:dyDescent="0.25">
      <c r="A12" s="38" t="s">
        <v>124</v>
      </c>
      <c r="B12" s="38" t="s">
        <v>124</v>
      </c>
      <c r="C12" s="38" t="s">
        <v>124</v>
      </c>
      <c r="D12" s="38">
        <v>-1</v>
      </c>
      <c r="E12" s="38">
        <v>-1</v>
      </c>
      <c r="F12" s="38">
        <v>-1</v>
      </c>
      <c r="G12" s="38">
        <v>-1</v>
      </c>
      <c r="H12" s="38">
        <v>-1</v>
      </c>
      <c r="I12" s="38">
        <v>-1</v>
      </c>
      <c r="J12" s="38">
        <v>-1</v>
      </c>
      <c r="K12" s="38">
        <v>-1</v>
      </c>
      <c r="L12" s="38">
        <v>-1</v>
      </c>
      <c r="M12" s="38">
        <v>-1</v>
      </c>
      <c r="N12" s="38">
        <v>-1</v>
      </c>
      <c r="O12" s="38">
        <v>-1</v>
      </c>
      <c r="P12" s="38">
        <v>-1</v>
      </c>
      <c r="Q12" s="38">
        <v>-1</v>
      </c>
      <c r="R12" s="38">
        <v>-1</v>
      </c>
      <c r="S12" s="38">
        <v>-1</v>
      </c>
      <c r="T12" s="38">
        <v>-1</v>
      </c>
      <c r="U12" s="38">
        <v>-1</v>
      </c>
      <c r="V12" s="38" t="s">
        <v>124</v>
      </c>
      <c r="W12" s="38" t="s">
        <v>124</v>
      </c>
      <c r="X12" s="38" t="s">
        <v>124</v>
      </c>
      <c r="Y12" s="38" t="s">
        <v>124</v>
      </c>
    </row>
    <row r="13" spans="1:25" x14ac:dyDescent="0.25">
      <c r="A13" s="38" t="s">
        <v>124</v>
      </c>
      <c r="B13" s="38" t="s">
        <v>124</v>
      </c>
      <c r="C13" s="38" t="s">
        <v>124</v>
      </c>
      <c r="D13" s="38">
        <v>-1</v>
      </c>
      <c r="E13" s="38">
        <v>-1</v>
      </c>
      <c r="F13" s="38">
        <v>-1</v>
      </c>
      <c r="G13" s="38">
        <v>-1</v>
      </c>
      <c r="H13" s="38">
        <v>-1</v>
      </c>
      <c r="I13" s="38">
        <v>-1</v>
      </c>
      <c r="J13" s="38">
        <v>-1</v>
      </c>
      <c r="K13" s="38">
        <v>-1</v>
      </c>
      <c r="L13" s="38">
        <v>-1</v>
      </c>
      <c r="M13" s="38">
        <v>-1</v>
      </c>
      <c r="N13" s="38">
        <v>-1</v>
      </c>
      <c r="O13" s="38">
        <v>-1</v>
      </c>
      <c r="P13" s="38">
        <v>-1</v>
      </c>
      <c r="Q13" s="38">
        <v>-1</v>
      </c>
      <c r="R13" s="38">
        <v>-1</v>
      </c>
      <c r="S13" s="38">
        <v>-1</v>
      </c>
      <c r="T13" s="38">
        <v>-1</v>
      </c>
      <c r="U13" s="38">
        <v>-1</v>
      </c>
      <c r="V13" s="38" t="s">
        <v>124</v>
      </c>
      <c r="W13" s="38" t="s">
        <v>124</v>
      </c>
      <c r="X13" s="38" t="s">
        <v>124</v>
      </c>
      <c r="Y13" s="38" t="s">
        <v>124</v>
      </c>
    </row>
    <row r="14" spans="1:25" x14ac:dyDescent="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</row>
    <row r="15" spans="1:25" x14ac:dyDescent="0.25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</row>
    <row r="16" spans="1:25" x14ac:dyDescent="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</row>
    <row r="17" spans="1:25" x14ac:dyDescent="0.25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</row>
    <row r="19" spans="1:25" x14ac:dyDescent="0.25">
      <c r="A19" t="s">
        <v>52</v>
      </c>
    </row>
    <row r="20" spans="1:25" x14ac:dyDescent="0.25">
      <c r="A20" t="s">
        <v>53</v>
      </c>
      <c r="B20" t="s">
        <v>54</v>
      </c>
      <c r="C20" t="s">
        <v>55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41" t="s">
        <v>128</v>
      </c>
    </row>
    <row r="23" spans="1:25" x14ac:dyDescent="0.25">
      <c r="A23" s="39">
        <v>0</v>
      </c>
      <c r="B23" s="39">
        <v>0</v>
      </c>
      <c r="C23" s="39">
        <v>0</v>
      </c>
      <c r="D23" t="s">
        <v>75</v>
      </c>
    </row>
    <row r="24" spans="1:25" x14ac:dyDescent="0.25">
      <c r="A24" s="39">
        <v>0</v>
      </c>
      <c r="B24" s="39">
        <v>0</v>
      </c>
      <c r="C24" s="39">
        <v>0</v>
      </c>
      <c r="D24" t="s">
        <v>76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workbookViewId="0">
      <selection activeCell="D21" sqref="D2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A12" t="str">
        <f>Data!A12</f>
        <v>NA</v>
      </c>
      <c r="B12" t="str">
        <f>Data!B12</f>
        <v>NA</v>
      </c>
      <c r="C12" t="str">
        <f>Data!C12</f>
        <v>NA</v>
      </c>
      <c r="D12" s="2">
        <f>IF(ROUND(Data!E12,0)=360,0,ROUND(Data!E12,0))</f>
        <v>-1</v>
      </c>
      <c r="E12" s="2">
        <f>IF(ROUND(Data!F12,0)=360,0,ROUND(Data!F12,0))</f>
        <v>-1</v>
      </c>
      <c r="F12" s="2">
        <f>IF(ROUND(Data!D12,0)=0,0,ROUND(360-Data!D12,0))</f>
        <v>361</v>
      </c>
      <c r="G12" s="1">
        <f>Data!G12</f>
        <v>-1</v>
      </c>
      <c r="H12" s="1">
        <f>Data!H12</f>
        <v>-1</v>
      </c>
      <c r="I12" s="1">
        <f>Data!I12</f>
        <v>-1</v>
      </c>
      <c r="J12" s="1">
        <f>Data!J12</f>
        <v>-1</v>
      </c>
      <c r="K12" s="1">
        <f>Data!K12</f>
        <v>-1</v>
      </c>
      <c r="L12" s="1">
        <f>Data!L12</f>
        <v>-1</v>
      </c>
      <c r="M12" s="1">
        <f>Data!M12</f>
        <v>-1</v>
      </c>
      <c r="N12" s="1">
        <f>Data!N12</f>
        <v>-1</v>
      </c>
      <c r="O12" s="1">
        <f>Data!O12</f>
        <v>-1</v>
      </c>
      <c r="P12" s="1">
        <f>Data!P12</f>
        <v>-1</v>
      </c>
      <c r="Q12" s="1">
        <f>Data!Q12</f>
        <v>-1</v>
      </c>
      <c r="R12" s="1">
        <f>Data!R12</f>
        <v>-1</v>
      </c>
      <c r="S12" s="1">
        <f>Data!S12</f>
        <v>-1</v>
      </c>
      <c r="T12" s="1">
        <f>Data!T12</f>
        <v>-1</v>
      </c>
      <c r="U12" s="1">
        <f>Data!U12</f>
        <v>-1</v>
      </c>
      <c r="V12" t="str">
        <f>Data!V12</f>
        <v>NA</v>
      </c>
    </row>
    <row r="13" spans="1:22" x14ac:dyDescent="0.25">
      <c r="A13" t="str">
        <f>Data!A13</f>
        <v>NA</v>
      </c>
      <c r="B13" t="str">
        <f>Data!B13</f>
        <v>NA</v>
      </c>
      <c r="C13" t="str">
        <f>Data!C13</f>
        <v>NA</v>
      </c>
      <c r="D13" s="2">
        <f>IF(ROUND(Data!E13,0)=360,0,ROUND(Data!E13,0))</f>
        <v>-1</v>
      </c>
      <c r="E13" s="2">
        <f>IF(ROUND(Data!F13,0)=360,0,ROUND(Data!F13,0))</f>
        <v>-1</v>
      </c>
      <c r="F13" s="2">
        <f>IF(ROUND(Data!D13,0)=0,0,ROUND(360-Data!D13,0))</f>
        <v>361</v>
      </c>
      <c r="G13" s="1">
        <f>Data!G13</f>
        <v>-1</v>
      </c>
      <c r="H13" s="1">
        <f>Data!H13</f>
        <v>-1</v>
      </c>
      <c r="I13" s="1">
        <f>Data!I13</f>
        <v>-1</v>
      </c>
      <c r="J13" s="1">
        <f>Data!J13</f>
        <v>-1</v>
      </c>
      <c r="K13" s="1">
        <f>Data!K13</f>
        <v>-1</v>
      </c>
      <c r="L13" s="1">
        <f>Data!L13</f>
        <v>-1</v>
      </c>
      <c r="M13" s="1">
        <f>Data!M13</f>
        <v>-1</v>
      </c>
      <c r="N13" s="1">
        <f>Data!N13</f>
        <v>-1</v>
      </c>
      <c r="O13" s="1">
        <f>Data!O13</f>
        <v>-1</v>
      </c>
      <c r="P13" s="1">
        <f>Data!P13</f>
        <v>-1</v>
      </c>
      <c r="Q13" s="1">
        <f>Data!Q13</f>
        <v>-1</v>
      </c>
      <c r="R13" s="1">
        <f>Data!R13</f>
        <v>-1</v>
      </c>
      <c r="S13" s="1">
        <f>Data!S13</f>
        <v>-1</v>
      </c>
      <c r="T13" s="1">
        <f>Data!T13</f>
        <v>-1</v>
      </c>
      <c r="U13" s="1">
        <f>Data!U13</f>
        <v>-1</v>
      </c>
      <c r="V13" t="str">
        <f>Data!V13</f>
        <v>NA</v>
      </c>
    </row>
    <row r="14" spans="1:22" x14ac:dyDescent="0.25">
      <c r="D14" s="2"/>
      <c r="E14" s="2"/>
      <c r="F14" s="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25">
      <c r="D15" s="2"/>
      <c r="E15" s="2"/>
      <c r="F15" s="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25">
      <c r="D16" s="2"/>
      <c r="E16" s="2"/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x14ac:dyDescent="0.25">
      <c r="D17" s="2"/>
      <c r="E17" s="2"/>
      <c r="F17" s="2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9" spans="1:21" x14ac:dyDescent="0.25">
      <c r="A19" t="s">
        <v>27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1" x14ac:dyDescent="0.25">
      <c r="D20" cm="1">
        <f t="array" ref="D20:H30">_xlfn.SORTBY(D3:H13,F3:F13,1,D3:D13,1,E3:E13,1)</f>
        <v>-1</v>
      </c>
      <c r="E20">
        <v>-1</v>
      </c>
      <c r="F20">
        <v>361</v>
      </c>
      <c r="G20" s="1">
        <v>-1</v>
      </c>
      <c r="H20" s="1">
        <v>-1</v>
      </c>
    </row>
    <row r="21" spans="1:21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1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1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1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1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1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1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1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1" x14ac:dyDescent="0.25">
      <c r="D29">
        <v>-1</v>
      </c>
      <c r="E29">
        <v>-1</v>
      </c>
      <c r="F29">
        <v>361</v>
      </c>
      <c r="G29" s="1">
        <v>-1</v>
      </c>
      <c r="H29" s="1">
        <v>-1</v>
      </c>
    </row>
    <row r="30" spans="1:21" x14ac:dyDescent="0.25">
      <c r="D30">
        <v>-1</v>
      </c>
      <c r="E30">
        <v>-1</v>
      </c>
      <c r="F30">
        <v>361</v>
      </c>
      <c r="G30" s="1">
        <v>-1</v>
      </c>
      <c r="H30" s="1">
        <v>-1</v>
      </c>
    </row>
    <row r="31" spans="1:21" x14ac:dyDescent="0.25">
      <c r="G31" s="1"/>
      <c r="H31" s="1"/>
    </row>
    <row r="32" spans="1:21" x14ac:dyDescent="0.25">
      <c r="G32" s="1"/>
      <c r="H32" s="1"/>
    </row>
    <row r="33" spans="4:8" x14ac:dyDescent="0.25">
      <c r="G33" s="1"/>
      <c r="H33" s="1"/>
    </row>
    <row r="34" spans="4:8" x14ac:dyDescent="0.25">
      <c r="G34" s="1"/>
      <c r="H34" s="1"/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zoomScale="85" zoomScaleNormal="85" workbookViewId="0">
      <selection activeCell="R12" sqref="R12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66</v>
      </c>
      <c r="T1" t="str">
        <f>IF(OR(I3="",I8="",J5="",J10="",K3="",K5="",K8="",K10=""),"",T2)</f>
        <v/>
      </c>
    </row>
    <row r="2" spans="1:24" x14ac:dyDescent="0.25">
      <c r="A2" t="s">
        <v>24</v>
      </c>
      <c r="B2" t="s">
        <v>25</v>
      </c>
      <c r="C2" t="s">
        <v>26</v>
      </c>
      <c r="D2" t="s">
        <v>6</v>
      </c>
      <c r="E2" t="s">
        <v>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 t="e">
        <f>S3-S4</f>
        <v>#VALUE!</v>
      </c>
      <c r="T2" s="1" t="e">
        <f>T3-T4</f>
        <v>#VALUE!</v>
      </c>
      <c r="V2" t="s">
        <v>62</v>
      </c>
      <c r="W2" t="s">
        <v>63</v>
      </c>
      <c r="X2" t="s">
        <v>64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60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65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34"/>
      <c r="P5" s="1"/>
      <c r="Q5" s="1" t="e">
        <f>G5-J$5</f>
        <v>#VALUE!</v>
      </c>
      <c r="R5" s="1" t="e">
        <f>-(H5-K$5)</f>
        <v>#VALUE!</v>
      </c>
      <c r="U5" t="s">
        <v>61</v>
      </c>
      <c r="V5" s="1">
        <f>Analysis!N14</f>
        <v>-1</v>
      </c>
      <c r="W5" s="1"/>
      <c r="X5" s="1">
        <f>Analysis!O14</f>
        <v>-1</v>
      </c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36" t="s">
        <v>110</v>
      </c>
      <c r="N6" s="34" t="s">
        <v>111</v>
      </c>
      <c r="O6" s="34" t="s">
        <v>112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34">
        <f>MAX(I3:I11)-MIN(I3:I11)</f>
        <v>0</v>
      </c>
      <c r="N7" s="34">
        <f t="shared" ref="N7:O7" si="1">MAX(J3:J11)-MIN(J3:J11)</f>
        <v>0</v>
      </c>
      <c r="O7" s="34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35">
        <f>SQRT((M7)^2+(N7)^2+(O7)^2)/2</f>
        <v>0</v>
      </c>
      <c r="P8" t="s">
        <v>109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ht="15.75" thickBot="1" x14ac:dyDescent="0.3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2" spans="1:24" ht="15.75" thickBot="1" x14ac:dyDescent="0.3">
      <c r="K12" s="1" t="e">
        <f>MAX(MAX(J14:J19)-MIN(J14:J19),MAX(K14:K19)-MIN(K14:K19))</f>
        <v>#VALUE!</v>
      </c>
      <c r="O12" s="47" t="s">
        <v>83</v>
      </c>
      <c r="P12" s="47"/>
      <c r="Q12" s="13" t="s">
        <v>79</v>
      </c>
      <c r="R12" s="4">
        <f>MAX(R14:R16)</f>
        <v>0</v>
      </c>
      <c r="S12" t="s">
        <v>113</v>
      </c>
    </row>
    <row r="13" spans="1:24" ht="15.75" thickBot="1" x14ac:dyDescent="0.3">
      <c r="A13" t="s">
        <v>23</v>
      </c>
      <c r="F13" t="s">
        <v>28</v>
      </c>
      <c r="G13" t="s">
        <v>30</v>
      </c>
      <c r="H13" t="s">
        <v>41</v>
      </c>
      <c r="I13" t="s">
        <v>42</v>
      </c>
      <c r="J13" t="s">
        <v>45</v>
      </c>
      <c r="K13" t="s">
        <v>46</v>
      </c>
      <c r="L13" t="s">
        <v>47</v>
      </c>
      <c r="M13" t="s">
        <v>48</v>
      </c>
      <c r="N13" t="s">
        <v>43</v>
      </c>
      <c r="O13" t="s">
        <v>44</v>
      </c>
      <c r="P13" t="s">
        <v>49</v>
      </c>
      <c r="Q13" t="s">
        <v>50</v>
      </c>
      <c r="R13" t="s">
        <v>51</v>
      </c>
    </row>
    <row r="14" spans="1:24" ht="15.75" thickBot="1" x14ac:dyDescent="0.3">
      <c r="A14">
        <f>Preprocess!D26</f>
        <v>-1</v>
      </c>
      <c r="B14">
        <f>Preprocess!E26</f>
        <v>-1</v>
      </c>
      <c r="C14">
        <f>Preprocess!F26</f>
        <v>361</v>
      </c>
      <c r="D14" s="1" t="str">
        <f>IF(AND($A14=180,$B14=270,$C14=0),Preprocess!G26,"")</f>
        <v/>
      </c>
      <c r="E14" s="1" t="str">
        <f>IF(AND($A14=180,$B14=270,$C14=0),Preprocess!H26,"")</f>
        <v/>
      </c>
      <c r="F14" s="1" t="str">
        <f>IF(D14="","",-D14)</f>
        <v/>
      </c>
      <c r="G14" s="1" t="str">
        <f>IF(E14="","",-E14)</f>
        <v/>
      </c>
      <c r="H14" s="1" t="e">
        <f>F$14-F14</f>
        <v>#VALUE!</v>
      </c>
      <c r="I14" s="1" t="e">
        <f>G$14-G14</f>
        <v>#VALUE!</v>
      </c>
      <c r="J14" s="1" t="e">
        <f>H14+L14</f>
        <v>#VALUE!</v>
      </c>
      <c r="K14" s="1" t="e">
        <f t="shared" ref="J14:K16" si="3">I14+M14</f>
        <v>#VALUE!</v>
      </c>
      <c r="L14" s="3">
        <v>-1</v>
      </c>
      <c r="M14" s="3">
        <v>-1</v>
      </c>
      <c r="N14" s="40">
        <v>-1</v>
      </c>
      <c r="O14" s="40">
        <v>-1</v>
      </c>
      <c r="P14" s="5" t="e">
        <f>J14-N$14</f>
        <v>#VALUE!</v>
      </c>
      <c r="Q14" s="6" t="e">
        <f t="shared" ref="Q14:Q16" si="4">K14-O$14</f>
        <v>#VALUE!</v>
      </c>
      <c r="R14" s="11" t="str">
        <f>IF(OR(D14="",E14=""),"",P14^2+Q14^2)</f>
        <v/>
      </c>
    </row>
    <row r="15" spans="1:24" x14ac:dyDescent="0.25">
      <c r="A15">
        <f>Preprocess!D29</f>
        <v>-1</v>
      </c>
      <c r="B15">
        <f>Preprocess!E29</f>
        <v>-1</v>
      </c>
      <c r="C15">
        <f>Preprocess!F29</f>
        <v>361</v>
      </c>
      <c r="D15" s="1" t="str">
        <f>IF(AND($A15=180,$B15=270),Preprocess!G29,"")</f>
        <v/>
      </c>
      <c r="E15" s="1" t="str">
        <f>IF(AND($A15=180,$B15=270),Preprocess!H29,"")</f>
        <v/>
      </c>
      <c r="F15" s="1" t="str">
        <f t="shared" ref="F15:F16" si="5">IF(D15="","",-D15)</f>
        <v/>
      </c>
      <c r="G15" s="1" t="str">
        <f t="shared" ref="G15:G16" si="6">IF(E15="","",-E15)</f>
        <v/>
      </c>
      <c r="H15" s="1" t="e">
        <f t="shared" ref="H15:H16" si="7">F$14-F15</f>
        <v>#VALUE!</v>
      </c>
      <c r="I15" s="1" t="e">
        <f t="shared" ref="I15:I16" si="8">G$14-G15</f>
        <v>#VALUE!</v>
      </c>
      <c r="J15" s="1" t="e">
        <f t="shared" si="3"/>
        <v>#VALUE!</v>
      </c>
      <c r="K15" s="1" t="e">
        <f t="shared" si="3"/>
        <v>#VALUE!</v>
      </c>
      <c r="L15" s="5">
        <f t="shared" ref="L15:L16" si="9">L$14*COS(C15*PI()/180)+M$14*SIN(C15*PI()/180)</f>
        <v>-1.0173001015936742</v>
      </c>
      <c r="M15" s="6">
        <f t="shared" ref="M15:M16" si="10">M$14*COS(C15*PI()/180)-L$14*SIN(C15*PI()/180)</f>
        <v>-0.9823952887191082</v>
      </c>
      <c r="P15" s="7" t="e">
        <f>J15-N$14</f>
        <v>#VALUE!</v>
      </c>
      <c r="Q15" s="8" t="e">
        <f t="shared" si="4"/>
        <v>#VALUE!</v>
      </c>
      <c r="R15" s="12" t="str">
        <f t="shared" ref="R15:R20" si="11">IF(OR(D15="",E15=""),"",P15^2+Q15^2)</f>
        <v/>
      </c>
      <c r="U15" s="1"/>
    </row>
    <row r="16" spans="1:24" x14ac:dyDescent="0.25">
      <c r="A16">
        <f>Preprocess!D30</f>
        <v>-1</v>
      </c>
      <c r="B16">
        <f>Preprocess!E30</f>
        <v>-1</v>
      </c>
      <c r="C16">
        <f>Preprocess!F30</f>
        <v>361</v>
      </c>
      <c r="D16" s="1" t="str">
        <f>IF(AND($A16=180,$B16=270),Preprocess!G30,"")</f>
        <v/>
      </c>
      <c r="E16" s="1" t="str">
        <f>IF(AND($A16=180,$B16=270),Preprocess!H30,"")</f>
        <v/>
      </c>
      <c r="F16" s="1" t="str">
        <f t="shared" si="5"/>
        <v/>
      </c>
      <c r="G16" s="1" t="str">
        <f t="shared" si="6"/>
        <v/>
      </c>
      <c r="H16" s="1" t="e">
        <f t="shared" si="7"/>
        <v>#VALUE!</v>
      </c>
      <c r="I16" s="1" t="e">
        <f t="shared" si="8"/>
        <v>#VALUE!</v>
      </c>
      <c r="J16" s="1" t="e">
        <f t="shared" si="3"/>
        <v>#VALUE!</v>
      </c>
      <c r="K16" s="1" t="e">
        <f t="shared" si="3"/>
        <v>#VALUE!</v>
      </c>
      <c r="L16" s="7">
        <f t="shared" si="9"/>
        <v>-1.0173001015936742</v>
      </c>
      <c r="M16" s="8">
        <f t="shared" si="10"/>
        <v>-0.9823952887191082</v>
      </c>
      <c r="P16" s="7" t="e">
        <f>J16-N$14</f>
        <v>#VALUE!</v>
      </c>
      <c r="Q16" s="8" t="e">
        <f t="shared" si="4"/>
        <v>#VALUE!</v>
      </c>
      <c r="R16" s="12" t="str">
        <f t="shared" si="11"/>
        <v/>
      </c>
      <c r="U16" s="1"/>
    </row>
    <row r="17" spans="1:21" x14ac:dyDescent="0.25">
      <c r="D17" s="1"/>
      <c r="E17" s="1"/>
      <c r="F17" s="1"/>
      <c r="G17" s="1"/>
      <c r="H17" s="1"/>
      <c r="I17" s="1"/>
      <c r="J17" s="1"/>
      <c r="K17" s="1"/>
      <c r="L17" s="7"/>
      <c r="M17" s="8"/>
      <c r="P17" s="7"/>
      <c r="Q17" s="8"/>
      <c r="R17" s="12" t="str">
        <f t="shared" si="11"/>
        <v/>
      </c>
      <c r="U17" s="1"/>
    </row>
    <row r="18" spans="1:21" x14ac:dyDescent="0.25">
      <c r="D18" s="1"/>
      <c r="E18" s="1"/>
      <c r="F18" s="1"/>
      <c r="G18" s="1"/>
      <c r="H18" s="1"/>
      <c r="I18" s="1"/>
      <c r="J18" s="1"/>
      <c r="K18" s="1"/>
      <c r="L18" s="7"/>
      <c r="M18" s="8"/>
      <c r="P18" s="7"/>
      <c r="Q18" s="8"/>
      <c r="R18" s="12" t="str">
        <f t="shared" si="11"/>
        <v/>
      </c>
      <c r="U18" s="1"/>
    </row>
    <row r="19" spans="1:21" x14ac:dyDescent="0.25">
      <c r="D19" s="1"/>
      <c r="E19" s="1"/>
      <c r="F19" s="1"/>
      <c r="G19" s="1"/>
      <c r="H19" s="1"/>
      <c r="I19" s="1"/>
      <c r="J19" s="1"/>
      <c r="K19" s="1"/>
      <c r="L19" s="7"/>
      <c r="M19" s="8"/>
      <c r="P19" s="7"/>
      <c r="Q19" s="8"/>
      <c r="R19" s="12" t="str">
        <f t="shared" si="11"/>
        <v/>
      </c>
      <c r="U19" s="1"/>
    </row>
    <row r="20" spans="1:21" ht="15.75" thickBot="1" x14ac:dyDescent="0.3">
      <c r="D20" s="1"/>
      <c r="E20" s="1"/>
      <c r="F20" s="1"/>
      <c r="G20" s="1"/>
      <c r="H20" s="1"/>
      <c r="I20" s="1"/>
      <c r="J20" s="1"/>
      <c r="K20" s="1"/>
      <c r="L20" s="9"/>
      <c r="M20" s="10"/>
      <c r="P20" s="9"/>
      <c r="Q20" s="10"/>
      <c r="R20" s="12" t="str">
        <f t="shared" si="11"/>
        <v/>
      </c>
      <c r="U20" s="1"/>
    </row>
    <row r="21" spans="1:21" x14ac:dyDescent="0.25">
      <c r="L21" s="43" t="s">
        <v>80</v>
      </c>
      <c r="M21" s="44"/>
      <c r="P21" s="43" t="s">
        <v>81</v>
      </c>
      <c r="Q21" s="44"/>
      <c r="R21" s="43" t="s">
        <v>82</v>
      </c>
      <c r="S21" s="44"/>
    </row>
    <row r="22" spans="1:21" ht="15.75" thickBot="1" x14ac:dyDescent="0.3">
      <c r="A22" t="str">
        <f>Data!A19</f>
        <v>ballCBCT</v>
      </c>
      <c r="L22" s="45"/>
      <c r="M22" s="46"/>
      <c r="P22" s="45"/>
      <c r="Q22" s="46"/>
      <c r="R22" s="45"/>
      <c r="S22" s="46"/>
    </row>
    <row r="23" spans="1:21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21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21" x14ac:dyDescent="0.25">
      <c r="A25" t="s">
        <v>59</v>
      </c>
      <c r="E25" s="1"/>
    </row>
    <row r="26" spans="1:21" x14ac:dyDescent="0.25">
      <c r="A26" t="s">
        <v>56</v>
      </c>
      <c r="B26" t="s">
        <v>57</v>
      </c>
      <c r="C26" t="s">
        <v>58</v>
      </c>
    </row>
    <row r="27" spans="1:21" x14ac:dyDescent="0.25">
      <c r="A27" s="1">
        <f>-A24</f>
        <v>0</v>
      </c>
      <c r="B27" s="1">
        <f t="shared" ref="B27:C27" si="12">-B24</f>
        <v>0</v>
      </c>
      <c r="C27" s="1">
        <f t="shared" si="12"/>
        <v>0</v>
      </c>
    </row>
  </sheetData>
  <sheetProtection selectLockedCells="1"/>
  <mergeCells count="4">
    <mergeCell ref="L21:M22"/>
    <mergeCell ref="P21:Q22"/>
    <mergeCell ref="R21:S22"/>
    <mergeCell ref="O12:P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="85" zoomScaleNormal="85" workbookViewId="0">
      <selection activeCell="D4" sqref="D4:E6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48" t="s">
        <v>117</v>
      </c>
      <c r="I2" s="48"/>
      <c r="J2" s="48"/>
      <c r="K2" s="48"/>
      <c r="L2" s="35">
        <f>MAX(L4:L6)</f>
        <v>0</v>
      </c>
      <c r="M2" t="s">
        <v>118</v>
      </c>
    </row>
    <row r="3" spans="1:13" x14ac:dyDescent="0.25">
      <c r="A3" t="s">
        <v>105</v>
      </c>
      <c r="E3" s="22"/>
      <c r="F3" s="22" t="s">
        <v>28</v>
      </c>
      <c r="G3" s="22" t="s">
        <v>30</v>
      </c>
      <c r="H3" s="22" t="s">
        <v>31</v>
      </c>
      <c r="I3" s="22" t="s">
        <v>33</v>
      </c>
      <c r="J3" s="22" t="s">
        <v>114</v>
      </c>
      <c r="K3" s="22" t="s">
        <v>115</v>
      </c>
      <c r="L3" s="22" t="s">
        <v>116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22" t="str">
        <f>IF(AND($A4=180,$B4=0,$C4=0),Preprocess!H24,"")</f>
        <v/>
      </c>
      <c r="F4" s="34" t="str">
        <f>IF(D4="","",-D4)</f>
        <v/>
      </c>
      <c r="G4" s="34" t="str">
        <f>IF(E4="","",-E4)</f>
        <v/>
      </c>
      <c r="H4" s="37">
        <v>-1</v>
      </c>
      <c r="I4" s="37">
        <v>-1</v>
      </c>
      <c r="J4" s="34" t="e">
        <f>F4-H$4</f>
        <v>#VALUE!</v>
      </c>
      <c r="K4" s="34" t="e">
        <f>G4-I$4</f>
        <v>#VALUE!</v>
      </c>
      <c r="L4" s="34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22" t="str">
        <f>IF(AND($A5=180,$B5=90,$C5=0),Preprocess!H25,"")</f>
        <v/>
      </c>
      <c r="F5" s="34" t="str">
        <f t="shared" ref="F5:G7" si="0">IF(D5="","",-D5)</f>
        <v/>
      </c>
      <c r="G5" s="34" t="str">
        <f t="shared" si="0"/>
        <v/>
      </c>
      <c r="H5" s="34"/>
      <c r="I5" s="22"/>
      <c r="J5" s="34" t="e">
        <f>F5-H$4</f>
        <v>#VALUE!</v>
      </c>
      <c r="K5" s="34" t="e">
        <f>G5-I$4</f>
        <v>#VALUE!</v>
      </c>
      <c r="L5" s="34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22" t="str">
        <f>IF(AND($A6=180,$B6=270,$C6=0),Preprocess!H26,"")</f>
        <v/>
      </c>
      <c r="F6" s="34" t="str">
        <f t="shared" si="0"/>
        <v/>
      </c>
      <c r="G6" s="34" t="str">
        <f t="shared" si="0"/>
        <v/>
      </c>
      <c r="H6" s="34"/>
      <c r="I6" s="22"/>
      <c r="J6" s="34" t="e">
        <f t="shared" ref="J6" si="2">F6-H$4</f>
        <v>#VALUE!</v>
      </c>
      <c r="K6" s="34" t="e">
        <f>G6-I$4</f>
        <v>#VALUE!</v>
      </c>
      <c r="L6" s="34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J4" sqref="J4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67</v>
      </c>
      <c r="B1" t="s">
        <v>68</v>
      </c>
      <c r="C1" s="14" t="s">
        <v>69</v>
      </c>
      <c r="D1" s="15" t="s">
        <v>69</v>
      </c>
      <c r="E1" s="16" t="s">
        <v>69</v>
      </c>
      <c r="F1" s="14" t="s">
        <v>71</v>
      </c>
      <c r="G1" s="16" t="s">
        <v>71</v>
      </c>
      <c r="H1" s="19" t="s">
        <v>37</v>
      </c>
      <c r="I1" s="19" t="str">
        <f>Analysis!P2</f>
        <v>Coll-Gantry-misalign</v>
      </c>
      <c r="J1" s="19" t="s">
        <v>66</v>
      </c>
      <c r="K1" s="19" t="s">
        <v>73</v>
      </c>
    </row>
    <row r="2" spans="1:11" x14ac:dyDescent="0.25">
      <c r="C2" s="17" t="s">
        <v>70</v>
      </c>
      <c r="D2" t="s">
        <v>70</v>
      </c>
      <c r="E2" s="18" t="s">
        <v>70</v>
      </c>
      <c r="F2" s="17" t="s">
        <v>70</v>
      </c>
      <c r="G2" s="18" t="s">
        <v>70</v>
      </c>
      <c r="H2" s="20"/>
      <c r="I2" s="20" t="s">
        <v>22</v>
      </c>
      <c r="J2" s="20"/>
      <c r="K2" s="20" t="s">
        <v>74</v>
      </c>
    </row>
    <row r="3" spans="1:11" ht="15.75" thickBot="1" x14ac:dyDescent="0.3">
      <c r="C3" s="21" t="s">
        <v>62</v>
      </c>
      <c r="D3" s="22" t="s">
        <v>63</v>
      </c>
      <c r="E3" s="23" t="s">
        <v>64</v>
      </c>
      <c r="F3" s="21" t="s">
        <v>62</v>
      </c>
      <c r="G3" s="23" t="s">
        <v>64</v>
      </c>
      <c r="H3" s="24" t="s">
        <v>72</v>
      </c>
      <c r="I3" s="24" t="s">
        <v>72</v>
      </c>
      <c r="J3" s="24" t="s">
        <v>72</v>
      </c>
      <c r="K3" s="24" t="s">
        <v>72</v>
      </c>
    </row>
    <row r="4" spans="1:11" ht="15.75" thickBot="1" x14ac:dyDescent="0.3">
      <c r="A4" s="32" t="str">
        <f>Data!B1</f>
        <v>Data Date: NA</v>
      </c>
      <c r="B4" t="s">
        <v>99</v>
      </c>
      <c r="C4" s="25" t="e">
        <f>Analysis!V3-Analysis!V$4</f>
        <v>#DIV/0!</v>
      </c>
      <c r="D4" s="26" t="e">
        <f>Analysis!W3-Analysis!W$4</f>
        <v>#DIV/0!</v>
      </c>
      <c r="E4" s="27" t="e">
        <f>Analysis!X3-Analysis!X$4</f>
        <v>#DIV/0!</v>
      </c>
      <c r="F4" s="25" t="e">
        <f>Analysis!V5-Analysis!V$4</f>
        <v>#DIV/0!</v>
      </c>
      <c r="G4" s="28" t="e">
        <f>Analysis!X5-Analysis!X$4</f>
        <v>#DIV/0!</v>
      </c>
      <c r="H4" s="29" t="str">
        <f>Analysis!O3</f>
        <v/>
      </c>
      <c r="I4" s="30" t="e">
        <f>Analysis!P3</f>
        <v>#DIV/0!</v>
      </c>
      <c r="J4" s="30" t="str">
        <f>Analysis!T1</f>
        <v/>
      </c>
      <c r="K4" s="30">
        <f>2*SQRT(Analysis!R12)</f>
        <v>0</v>
      </c>
    </row>
    <row r="5" spans="1:11" x14ac:dyDescent="0.25">
      <c r="C5" s="31"/>
      <c r="D5" s="31"/>
      <c r="E5" s="31"/>
      <c r="F5" s="31"/>
      <c r="G5" s="31"/>
      <c r="H5" s="31"/>
      <c r="I5" s="31"/>
      <c r="J5" s="31"/>
      <c r="K5" s="31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77</v>
      </c>
    </row>
    <row r="3" spans="3:6" x14ac:dyDescent="0.25">
      <c r="D3">
        <v>1</v>
      </c>
      <c r="E3" t="s">
        <v>78</v>
      </c>
    </row>
    <row r="4" spans="3:6" x14ac:dyDescent="0.25">
      <c r="D4">
        <v>2</v>
      </c>
      <c r="E4" t="s">
        <v>84</v>
      </c>
    </row>
    <row r="5" spans="3:6" x14ac:dyDescent="0.25">
      <c r="D5">
        <v>3</v>
      </c>
      <c r="E5" t="s">
        <v>85</v>
      </c>
    </row>
    <row r="6" spans="3:6" x14ac:dyDescent="0.25">
      <c r="D6">
        <v>4</v>
      </c>
      <c r="E6" t="s">
        <v>86</v>
      </c>
    </row>
    <row r="7" spans="3:6" x14ac:dyDescent="0.25">
      <c r="E7" t="s">
        <v>87</v>
      </c>
      <c r="F7" t="s">
        <v>88</v>
      </c>
    </row>
    <row r="8" spans="3:6" x14ac:dyDescent="0.25">
      <c r="E8" t="s">
        <v>89</v>
      </c>
      <c r="F8" t="s">
        <v>91</v>
      </c>
    </row>
    <row r="9" spans="3:6" x14ac:dyDescent="0.25">
      <c r="E9" t="s">
        <v>90</v>
      </c>
      <c r="F9" t="s">
        <v>92</v>
      </c>
    </row>
    <row r="10" spans="3:6" x14ac:dyDescent="0.25">
      <c r="E10" t="s">
        <v>93</v>
      </c>
      <c r="F10" t="s">
        <v>94</v>
      </c>
    </row>
    <row r="11" spans="3:6" x14ac:dyDescent="0.25">
      <c r="D11">
        <v>5</v>
      </c>
      <c r="E11" t="s">
        <v>121</v>
      </c>
    </row>
    <row r="12" spans="3:6" x14ac:dyDescent="0.25">
      <c r="D12">
        <v>6</v>
      </c>
      <c r="E12" t="s">
        <v>122</v>
      </c>
    </row>
    <row r="13" spans="3:6" x14ac:dyDescent="0.25">
      <c r="D13">
        <v>8</v>
      </c>
      <c r="E13" t="s">
        <v>95</v>
      </c>
    </row>
    <row r="14" spans="3:6" x14ac:dyDescent="0.25">
      <c r="D14">
        <v>9</v>
      </c>
      <c r="E14" t="s">
        <v>119</v>
      </c>
    </row>
    <row r="15" spans="3:6" x14ac:dyDescent="0.25">
      <c r="D15">
        <v>10</v>
      </c>
      <c r="E15" t="s">
        <v>96</v>
      </c>
    </row>
    <row r="16" spans="3:6" x14ac:dyDescent="0.25">
      <c r="D16">
        <v>11</v>
      </c>
      <c r="E16" t="s">
        <v>123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2025-10-04T18:46:41Z</dcterms:modified>
</cp:coreProperties>
</file>