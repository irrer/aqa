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f\IntelliJ\ws\aqa\src\main\resources\static\"/>
    </mc:Choice>
  </mc:AlternateContent>
  <xr:revisionPtr revIDLastSave="0" documentId="13_ncr:1_{D39AF678-A737-4E02-9F60-7C3561389EA4}" xr6:coauthVersionLast="47" xr6:coauthVersionMax="47" xr10:uidLastSave="{00000000-0000-0000-0000-000000000000}"/>
  <bookViews>
    <workbookView xWindow="19230" yWindow="2940" windowWidth="21600" windowHeight="12645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/>
  <c r="R12" i="3"/>
  <c r="D20" i="2" a="1"/>
  <c r="D20" i="2" s="1"/>
  <c r="G4" i="2"/>
  <c r="G5" i="2"/>
  <c r="U4" i="2"/>
  <c r="U5" i="2"/>
  <c r="U6" i="2"/>
  <c r="U7" i="2"/>
  <c r="U8" i="2"/>
  <c r="U9" i="2"/>
  <c r="U10" i="2"/>
  <c r="U11" i="2"/>
  <c r="U12" i="2"/>
  <c r="U13" i="2"/>
  <c r="T4" i="2"/>
  <c r="T5" i="2"/>
  <c r="T6" i="2"/>
  <c r="T7" i="2"/>
  <c r="T8" i="2"/>
  <c r="T9" i="2"/>
  <c r="T10" i="2"/>
  <c r="T11" i="2"/>
  <c r="T12" i="2"/>
  <c r="T13" i="2"/>
  <c r="S4" i="2"/>
  <c r="S5" i="2"/>
  <c r="S6" i="2"/>
  <c r="S7" i="2"/>
  <c r="S8" i="2"/>
  <c r="S9" i="2"/>
  <c r="S10" i="2"/>
  <c r="S11" i="2"/>
  <c r="S12" i="2"/>
  <c r="S13" i="2"/>
  <c r="R4" i="2"/>
  <c r="R5" i="2"/>
  <c r="R6" i="2"/>
  <c r="R7" i="2"/>
  <c r="R8" i="2"/>
  <c r="R9" i="2"/>
  <c r="R10" i="2"/>
  <c r="R11" i="2"/>
  <c r="R12" i="2"/>
  <c r="R13" i="2"/>
  <c r="Q4" i="2"/>
  <c r="Q5" i="2"/>
  <c r="Q6" i="2"/>
  <c r="Q7" i="2"/>
  <c r="Q8" i="2"/>
  <c r="Q9" i="2"/>
  <c r="Q10" i="2"/>
  <c r="Q11" i="2"/>
  <c r="Q12" i="2"/>
  <c r="Q13" i="2"/>
  <c r="P4" i="2"/>
  <c r="P5" i="2"/>
  <c r="P6" i="2"/>
  <c r="P7" i="2"/>
  <c r="P8" i="2"/>
  <c r="P9" i="2"/>
  <c r="P10" i="2"/>
  <c r="P11" i="2"/>
  <c r="P12" i="2"/>
  <c r="P13" i="2"/>
  <c r="O4" i="2"/>
  <c r="O5" i="2"/>
  <c r="O6" i="2"/>
  <c r="O7" i="2"/>
  <c r="O8" i="2"/>
  <c r="O9" i="2"/>
  <c r="O10" i="2"/>
  <c r="O11" i="2"/>
  <c r="O12" i="2"/>
  <c r="O13" i="2"/>
  <c r="N4" i="2"/>
  <c r="N5" i="2"/>
  <c r="N6" i="2"/>
  <c r="N7" i="2"/>
  <c r="N8" i="2"/>
  <c r="N9" i="2"/>
  <c r="N10" i="2"/>
  <c r="N11" i="2"/>
  <c r="N12" i="2"/>
  <c r="N13" i="2"/>
  <c r="M4" i="2"/>
  <c r="M5" i="2"/>
  <c r="M6" i="2"/>
  <c r="M7" i="2"/>
  <c r="M8" i="2"/>
  <c r="M9" i="2"/>
  <c r="M10" i="2"/>
  <c r="M11" i="2"/>
  <c r="M12" i="2"/>
  <c r="M13" i="2"/>
  <c r="L4" i="2"/>
  <c r="L5" i="2"/>
  <c r="L6" i="2"/>
  <c r="L7" i="2"/>
  <c r="L8" i="2"/>
  <c r="L9" i="2"/>
  <c r="L10" i="2"/>
  <c r="L11" i="2"/>
  <c r="L12" i="2"/>
  <c r="L13" i="2"/>
  <c r="K4" i="2"/>
  <c r="K5" i="2"/>
  <c r="K6" i="2"/>
  <c r="K7" i="2"/>
  <c r="K8" i="2"/>
  <c r="K9" i="2"/>
  <c r="K10" i="2"/>
  <c r="K11" i="2"/>
  <c r="K12" i="2"/>
  <c r="K13" i="2"/>
  <c r="J4" i="2"/>
  <c r="J5" i="2"/>
  <c r="J6" i="2"/>
  <c r="J7" i="2"/>
  <c r="J8" i="2"/>
  <c r="J9" i="2"/>
  <c r="J10" i="2"/>
  <c r="J11" i="2"/>
  <c r="J12" i="2"/>
  <c r="J13" i="2"/>
  <c r="I4" i="2"/>
  <c r="I5" i="2"/>
  <c r="I6" i="2"/>
  <c r="I7" i="2"/>
  <c r="I8" i="2"/>
  <c r="I9" i="2"/>
  <c r="I10" i="2"/>
  <c r="I11" i="2"/>
  <c r="I12" i="2"/>
  <c r="I13" i="2"/>
  <c r="H4" i="2"/>
  <c r="H5" i="2"/>
  <c r="H6" i="2"/>
  <c r="H7" i="2"/>
  <c r="H8" i="2"/>
  <c r="H9" i="2"/>
  <c r="H10" i="2"/>
  <c r="H11" i="2"/>
  <c r="H12" i="2"/>
  <c r="H13" i="2"/>
  <c r="G6" i="2"/>
  <c r="G7" i="2"/>
  <c r="G8" i="2"/>
  <c r="G9" i="2"/>
  <c r="G10" i="2"/>
  <c r="G11" i="2"/>
  <c r="G12" i="2"/>
  <c r="G1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3" i="2"/>
  <c r="D5" i="2"/>
  <c r="D6" i="2"/>
  <c r="D7" i="2"/>
  <c r="D8" i="2"/>
  <c r="D9" i="2"/>
  <c r="D10" i="2"/>
  <c r="D11" i="2"/>
  <c r="D12" i="2"/>
  <c r="D13" i="2"/>
  <c r="F4" i="2" l="1"/>
  <c r="F5" i="2"/>
  <c r="F6" i="2"/>
  <c r="F7" i="2"/>
  <c r="F8" i="2"/>
  <c r="F9" i="2"/>
  <c r="F10" i="2"/>
  <c r="F11" i="2"/>
  <c r="F12" i="2"/>
  <c r="F13" i="2"/>
  <c r="F3" i="2"/>
  <c r="V4" i="2" l="1"/>
  <c r="V5" i="2"/>
  <c r="V6" i="2"/>
  <c r="V7" i="2"/>
  <c r="V8" i="2"/>
  <c r="V9" i="2"/>
  <c r="V10" i="2"/>
  <c r="V11" i="2"/>
  <c r="V12" i="2"/>
  <c r="V13" i="2"/>
  <c r="V3" i="2"/>
  <c r="C4" i="2"/>
  <c r="C5" i="2"/>
  <c r="C6" i="2"/>
  <c r="C7" i="2"/>
  <c r="C8" i="2"/>
  <c r="C9" i="2"/>
  <c r="C10" i="2"/>
  <c r="C11" i="2"/>
  <c r="C12" i="2"/>
  <c r="C13" i="2"/>
  <c r="B3" i="2"/>
  <c r="B4" i="2"/>
  <c r="B5" i="2"/>
  <c r="B6" i="2"/>
  <c r="B7" i="2"/>
  <c r="B8" i="2"/>
  <c r="B9" i="2"/>
  <c r="B10" i="2"/>
  <c r="B11" i="2"/>
  <c r="B12" i="2"/>
  <c r="B13" i="2"/>
  <c r="A3" i="2"/>
  <c r="A4" i="2"/>
  <c r="A5" i="2"/>
  <c r="A6" i="2"/>
  <c r="A7" i="2"/>
  <c r="A8" i="2"/>
  <c r="A9" i="2"/>
  <c r="A10" i="2"/>
  <c r="A11" i="2"/>
  <c r="A12" i="2"/>
  <c r="A13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A3" i="3" l="1"/>
  <c r="C4" i="3"/>
  <c r="C10" i="3"/>
  <c r="C15" i="3"/>
  <c r="C5" i="8"/>
  <c r="B5" i="3"/>
  <c r="C7" i="3"/>
  <c r="C11" i="3"/>
  <c r="A8" i="3"/>
  <c r="A14" i="3"/>
  <c r="B8" i="3"/>
  <c r="A6" i="3"/>
  <c r="C14" i="3"/>
  <c r="A5" i="3"/>
  <c r="A7" i="3"/>
  <c r="A11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C6" i="3"/>
  <c r="B9" i="3"/>
  <c r="C9" i="3"/>
  <c r="C6" i="8"/>
  <c r="A4" i="3"/>
  <c r="A10" i="3"/>
  <c r="A15" i="3"/>
  <c r="B6" i="8"/>
  <c r="B4" i="3"/>
  <c r="B10" i="3"/>
  <c r="B15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M16" i="3"/>
  <c r="L16" i="3"/>
  <c r="D11" i="3"/>
  <c r="G11" i="3" s="1"/>
  <c r="E11" i="3"/>
  <c r="H11" i="3" s="1"/>
  <c r="E6" i="8"/>
  <c r="G6" i="8" s="1"/>
  <c r="K6" i="8" s="1"/>
  <c r="D6" i="8"/>
  <c r="F6" i="8" s="1"/>
  <c r="J6" i="8" s="1"/>
  <c r="D7" i="3"/>
  <c r="F7" i="3" s="1"/>
  <c r="E7" i="3"/>
  <c r="H7" i="3" s="1"/>
  <c r="D5" i="3"/>
  <c r="G5" i="3" s="1"/>
  <c r="E5" i="3"/>
  <c r="H5" i="3" s="1"/>
  <c r="D6" i="3"/>
  <c r="G6" i="3" s="1"/>
  <c r="E6" i="3"/>
  <c r="H6" i="3" s="1"/>
  <c r="D16" i="3"/>
  <c r="F16" i="3" s="1"/>
  <c r="E16" i="3"/>
  <c r="G16" i="3" s="1"/>
  <c r="M15" i="3"/>
  <c r="L15" i="3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4" i="3"/>
  <c r="K14" i="3" s="1"/>
  <c r="Q14" i="3" s="1"/>
  <c r="I16" i="3"/>
  <c r="K16" i="3" s="1"/>
  <c r="Q16" i="3" s="1"/>
  <c r="H16" i="3"/>
  <c r="J16" i="3" s="1"/>
  <c r="P16" i="3" s="1"/>
  <c r="H14" i="3"/>
  <c r="J14" i="3" s="1"/>
  <c r="H15" i="3"/>
  <c r="J15" i="3" s="1"/>
  <c r="P15" i="3" s="1"/>
  <c r="K10" i="3"/>
  <c r="R10" i="3" s="1"/>
  <c r="I3" i="3"/>
  <c r="Q4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O3" i="3"/>
  <c r="O7" i="3"/>
  <c r="R18" i="3"/>
  <c r="R5" i="3"/>
  <c r="M3" i="3"/>
  <c r="W4" i="3" s="1"/>
  <c r="N7" i="3"/>
  <c r="R15" i="3"/>
  <c r="R4" i="3"/>
  <c r="K12" i="3"/>
  <c r="P14" i="3"/>
  <c r="R14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7" i="6"/>
  <c r="H4" i="4"/>
  <c r="T3" i="3"/>
  <c r="E4" i="4"/>
  <c r="C6" i="6"/>
  <c r="G4" i="4"/>
  <c r="C4" i="6"/>
  <c r="C3" i="6"/>
  <c r="D4" i="4"/>
  <c r="S2" i="3" l="1"/>
  <c r="T2" i="3"/>
  <c r="T1" i="3" s="1"/>
  <c r="C9" i="6" s="1"/>
  <c r="K4" i="4"/>
  <c r="C10" i="6"/>
  <c r="F4" i="4"/>
  <c r="C5" i="6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<sst xmlns="http://schemas.openxmlformats.org/spreadsheetml/2006/main" count="240" uniqueCount="133">
  <si>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</si>
  <si>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</si>
  <si>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</si>
  <si>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</si>
  <si>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</si>
  <si>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</si>
  <si>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</si>
  <si>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</si>
  <si>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</si>
  <si>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</si>
  <si>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</si>
  <si>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</si>
  <si>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</si>
  <si>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</si>
  <si>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</si>
  <si>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</si>
  <si>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</si>
  <si>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</si>
  <si>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</si>
  <si>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</si>
  <si>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</si>
  <si>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</si>
  <si>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</si>
  <si>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</si>
  <si>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</si>
  <si>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</si>
  <si>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</si>
  <si>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</si>
  <si>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</si>
  <si>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</si>
  <si>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</si>
  <si>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</si>
  <si>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</si>
  <si>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</si>
  <si>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</si>
  <si>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</si>
  <si>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</si>
  <si>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</si>
  <si>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</si>
  <si>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</si>
  <si>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</si>
  <si>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</si>
  <si>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</si>
  <si>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</si>
  <si>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</si>
  <si>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</si>
  <si>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</si>
  <si>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</si>
  <si>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</si>
  <si>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</si>
  <si>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</si>
  <si>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</si>
  <si>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</si>
  <si>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</si>
  <si>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</si>
  <si>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</si>
  <si>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</si>
  <si>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</si>
  <si>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</si>
  <si>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</si>
  <si>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</si>
  <si>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</si>
  <si>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</si>
  <si>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</si>
  <si>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</si>
  <si>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</si>
  <si>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</si>
  <si>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</si>
  <si>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</si>
  <si>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</si>
  <si>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</si>
  <si>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</si>
  <si>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</si>
  <si>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</si>
  <si>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</si>
  <si>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</si>
  <si>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</si>
  <si>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</si>
  <si>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</si>
  <si>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</si>
  <si>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</si>
  <si>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</si>
  <si>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</si>
  <si>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</si>
  <si>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</si>
  <si>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</si>
  <si>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</si>
  <si>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</si>
  <si>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</si>
  <si>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</si>
  <si>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</si>
  <si>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</si>
  <si>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</si>
  <si>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</si>
  <si>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</si>
  <si>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</si>
  <si>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</si>
  <si>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</si>
  <si>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</si>
  <si>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</si>
  <si>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</si>
  <si>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</si>
  <si>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</si>
  <si>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Table - Gantry Iso X (mm)</t>
  </si>
  <si>
    <t>Table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</si>
  <si>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</si>
  <si>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</si>
  <si>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</si>
  <si>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</si>
  <si>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</si>
  <si>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</si>
  <si>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</si>
  <si>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</si>
  <si>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</si>
  <si>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</si>
  <si>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</si>
  <si>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</si>
  <si>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</si>
  <si>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</si>
  <si>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</si>
  <si>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</si>
  <si>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</si>
  <si>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</si>
  <si>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</si>
  <si>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</si>
  <si>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</si>
  <si>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</si>
  <si>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</si>
  <si>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</si>
  <si>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</si>
  <si>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</si>
  <si>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</si>
  <si>
    <t>Maximum R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</si>
</sst>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0" fontId="5" fillId="0" borderId="0" xfId="0" applyFont="1"/>
    <xf numFmtId="0" fontId="0" fillId="0" borderId="0" xfId="0" applyProtection="1">
      <protection locked="0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9524</xdr:colOff>
      <xdr:row>5</xdr:row>
      <xdr:rowOff>1680</xdr:rowOff>
    </xdr:from>
    <xdr:to>
      <xdr:col>10</xdr:col>
      <xdr:colOff>883023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3"/>
  <sheetViews>
    <sheetView tabSelected="1" zoomScaleNormal="100" workbookViewId="0"/>
  </sheetViews>
  <sheetFormatPr defaultRowHeight="15" x14ac:dyDescent="0.25"/>
  <cols>
    <col min="2" max="2" width="21.5703125" customWidth="1"/>
    <col min="3" max="3" width="8.85546875" style="22"/>
  </cols>
  <sheetData>
    <row r="2" spans="2:3" x14ac:dyDescent="0.25">
      <c r="B2" s="33" t="s">
        <v>100</v>
      </c>
      <c r="C2" s="34" t="e">
        <f>Analysis!V3-Analysis!V$4</f>
        <v>#DIV/0!</v>
      </c>
    </row>
    <row r="3" spans="2:3" x14ac:dyDescent="0.25">
      <c r="B3" s="33" t="s">
        <v>101</v>
      </c>
      <c r="C3" s="34" t="e">
        <f>Analysis!W3-Analysis!W$4</f>
        <v>#DIV/0!</v>
      </c>
    </row>
    <row r="4" spans="2:3" x14ac:dyDescent="0.25">
      <c r="B4" s="33" t="s">
        <v>102</v>
      </c>
      <c r="C4" s="34" t="e">
        <f>Analysis!X3-Analysis!X$4</f>
        <v>#DIV/0!</v>
      </c>
    </row>
    <row r="5" spans="2:3" x14ac:dyDescent="0.25">
      <c r="B5" s="33" t="s">
        <v>103</v>
      </c>
      <c r="C5" s="34" t="e">
        <f>Analysis!V5-Analysis!V$4</f>
        <v>#DIV/0!</v>
      </c>
    </row>
    <row r="6" spans="2:3" x14ac:dyDescent="0.25">
      <c r="B6" s="33" t="s">
        <v>104</v>
      </c>
      <c r="C6" s="34" t="e">
        <f>Analysis!X5-Analysis!X$4</f>
        <v>#DIV/0!</v>
      </c>
    </row>
    <row r="7" spans="2:3" x14ac:dyDescent="0.25">
      <c r="B7" s="33" t="s">
        <v>131</v>
      </c>
      <c r="C7" s="34" t="str">
        <f>Analysis!O3</f>
        <v/>
      </c>
    </row>
    <row r="8" spans="2:3" x14ac:dyDescent="0.25">
      <c r="B8" s="33" t="s">
        <v>105</v>
      </c>
      <c r="C8" s="34" t="e">
        <f>Analysis!P3</f>
        <v>#DIV/0!</v>
      </c>
    </row>
    <row r="9" spans="2:3" x14ac:dyDescent="0.25">
      <c r="B9" s="33" t="s">
        <v>106</v>
      </c>
      <c r="C9" s="34" t="str">
        <f>Analysis!T1</f>
        <v/>
      </c>
    </row>
    <row r="10" spans="2:3" x14ac:dyDescent="0.25">
      <c r="B10" s="33" t="s">
        <v>108</v>
      </c>
      <c r="C10" s="34">
        <f>SQRT(Analysis!R12)</f>
        <v>0</v>
      </c>
    </row>
    <row r="11" spans="2:3" x14ac:dyDescent="0.25">
      <c r="B11" s="33" t="s">
        <v>109</v>
      </c>
      <c r="C11" s="34">
        <f>Analysis!O8</f>
        <v>0</v>
      </c>
    </row>
    <row r="12" spans="2:3" x14ac:dyDescent="0.25">
      <c r="B12" s="33" t="s">
        <v>110</v>
      </c>
      <c r="C12" s="34">
        <f>Collimator!L2</f>
        <v>0</v>
      </c>
    </row>
    <row r="13" spans="2:3" x14ac:dyDescent="0.25">
      <c r="B13" s="33" t="s">
        <v>132</v>
      </c>
      <c r="C13" s="34">
        <f>MAX(Data!I3:I13)</f>
        <v>-1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15" sqref="G15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129</v>
      </c>
      <c r="B1" s="38" t="s">
        <v>127</v>
      </c>
      <c r="C1" s="38" t="s">
        <v>128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122</v>
      </c>
      <c r="X2" s="38" t="s">
        <v>97</v>
      </c>
      <c r="Y2" s="38" t="s">
        <v>98</v>
      </c>
    </row>
    <row r="3" spans="1:25" x14ac:dyDescent="0.25">
      <c r="A3" s="38" t="s">
        <v>126</v>
      </c>
      <c r="B3" s="38" t="s">
        <v>126</v>
      </c>
      <c r="C3" s="38" t="s">
        <v>126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126</v>
      </c>
      <c r="W3" s="38" t="s">
        <v>126</v>
      </c>
      <c r="X3" s="38" t="s">
        <v>126</v>
      </c>
      <c r="Y3" s="38" t="s">
        <v>126</v>
      </c>
    </row>
    <row r="4" spans="1:25" x14ac:dyDescent="0.25">
      <c r="A4" s="38" t="s">
        <v>126</v>
      </c>
      <c r="B4" s="38" t="s">
        <v>126</v>
      </c>
      <c r="C4" s="38" t="s">
        <v>126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126</v>
      </c>
      <c r="W4" s="38" t="s">
        <v>126</v>
      </c>
      <c r="X4" s="38" t="s">
        <v>126</v>
      </c>
      <c r="Y4" s="38" t="s">
        <v>126</v>
      </c>
    </row>
    <row r="5" spans="1:25" x14ac:dyDescent="0.25">
      <c r="A5" s="38" t="s">
        <v>126</v>
      </c>
      <c r="B5" s="38" t="s">
        <v>126</v>
      </c>
      <c r="C5" s="38" t="s">
        <v>126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126</v>
      </c>
      <c r="W5" s="38" t="s">
        <v>126</v>
      </c>
      <c r="X5" s="38" t="s">
        <v>126</v>
      </c>
      <c r="Y5" s="38" t="s">
        <v>126</v>
      </c>
    </row>
    <row r="6" spans="1:25" x14ac:dyDescent="0.25">
      <c r="A6" s="38" t="s">
        <v>126</v>
      </c>
      <c r="B6" s="38" t="s">
        <v>126</v>
      </c>
      <c r="C6" s="38" t="s">
        <v>126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126</v>
      </c>
      <c r="W6" s="38" t="s">
        <v>126</v>
      </c>
      <c r="X6" s="38" t="s">
        <v>126</v>
      </c>
      <c r="Y6" s="38" t="s">
        <v>126</v>
      </c>
    </row>
    <row r="7" spans="1:25" x14ac:dyDescent="0.25">
      <c r="A7" s="38" t="s">
        <v>126</v>
      </c>
      <c r="B7" s="38" t="s">
        <v>126</v>
      </c>
      <c r="C7" s="38" t="s">
        <v>126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126</v>
      </c>
      <c r="W7" s="38" t="s">
        <v>126</v>
      </c>
      <c r="X7" s="38" t="s">
        <v>126</v>
      </c>
      <c r="Y7" s="38" t="s">
        <v>126</v>
      </c>
    </row>
    <row r="8" spans="1:25" x14ac:dyDescent="0.25">
      <c r="A8" s="38" t="s">
        <v>126</v>
      </c>
      <c r="B8" s="38" t="s">
        <v>126</v>
      </c>
      <c r="C8" s="38" t="s">
        <v>126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126</v>
      </c>
      <c r="W8" s="38" t="s">
        <v>126</v>
      </c>
      <c r="X8" s="38" t="s">
        <v>126</v>
      </c>
      <c r="Y8" s="38" t="s">
        <v>126</v>
      </c>
    </row>
    <row r="9" spans="1:25" x14ac:dyDescent="0.25">
      <c r="A9" s="38" t="s">
        <v>126</v>
      </c>
      <c r="B9" s="38" t="s">
        <v>126</v>
      </c>
      <c r="C9" s="38" t="s">
        <v>126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126</v>
      </c>
      <c r="W9" s="38" t="s">
        <v>126</v>
      </c>
      <c r="X9" s="38" t="s">
        <v>126</v>
      </c>
      <c r="Y9" s="38" t="s">
        <v>126</v>
      </c>
    </row>
    <row r="10" spans="1:25" x14ac:dyDescent="0.25">
      <c r="A10" s="38" t="s">
        <v>126</v>
      </c>
      <c r="B10" s="38" t="s">
        <v>126</v>
      </c>
      <c r="C10" s="38" t="s">
        <v>126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126</v>
      </c>
      <c r="W10" s="38" t="s">
        <v>126</v>
      </c>
      <c r="X10" s="38" t="s">
        <v>126</v>
      </c>
      <c r="Y10" s="38" t="s">
        <v>126</v>
      </c>
    </row>
    <row r="11" spans="1:25" x14ac:dyDescent="0.25">
      <c r="A11" s="38" t="s">
        <v>126</v>
      </c>
      <c r="B11" s="38" t="s">
        <v>126</v>
      </c>
      <c r="C11" s="38" t="s">
        <v>126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126</v>
      </c>
      <c r="W11" s="38" t="s">
        <v>126</v>
      </c>
      <c r="X11" s="38" t="s">
        <v>126</v>
      </c>
      <c r="Y11" s="38" t="s">
        <v>126</v>
      </c>
    </row>
    <row r="12" spans="1:25" x14ac:dyDescent="0.25">
      <c r="A12" s="38" t="s">
        <v>126</v>
      </c>
      <c r="B12" s="38" t="s">
        <v>126</v>
      </c>
      <c r="C12" s="38" t="s">
        <v>126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126</v>
      </c>
      <c r="W12" s="38" t="s">
        <v>126</v>
      </c>
      <c r="X12" s="38" t="s">
        <v>126</v>
      </c>
      <c r="Y12" s="38" t="s">
        <v>126</v>
      </c>
    </row>
    <row r="13" spans="1:25" x14ac:dyDescent="0.25">
      <c r="A13" s="38" t="s">
        <v>126</v>
      </c>
      <c r="B13" s="38" t="s">
        <v>126</v>
      </c>
      <c r="C13" s="38" t="s">
        <v>126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126</v>
      </c>
      <c r="W13" s="38" t="s">
        <v>126</v>
      </c>
      <c r="X13" s="38" t="s">
        <v>126</v>
      </c>
      <c r="Y13" s="38" t="s">
        <v>126</v>
      </c>
    </row>
    <row r="14" spans="1:25" x14ac:dyDescent="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</row>
    <row r="15" spans="1:25" x14ac:dyDescent="0.25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</row>
    <row r="16" spans="1:25" x14ac:dyDescent="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</row>
    <row r="17" spans="1:25" x14ac:dyDescent="0.25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</row>
    <row r="19" spans="1:25" x14ac:dyDescent="0.25">
      <c r="A19" t="s">
        <v>52</v>
      </c>
    </row>
    <row r="20" spans="1:25" x14ac:dyDescent="0.25">
      <c r="A20" t="s">
        <v>53</v>
      </c>
      <c r="B20" t="s">
        <v>54</v>
      </c>
      <c r="C20" t="s">
        <v>55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41" t="s">
        <v>130</v>
      </c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workbookViewId="0">
      <selection activeCell="D21" sqref="D2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Data!G12</f>
        <v>-1</v>
      </c>
      <c r="H12" s="1">
        <f>Data!H12</f>
        <v>-1</v>
      </c>
      <c r="I12" s="1">
        <f>Data!I12</f>
        <v>-1</v>
      </c>
      <c r="J12" s="1">
        <f>Data!J12</f>
        <v>-1</v>
      </c>
      <c r="K12" s="1">
        <f>Data!K12</f>
        <v>-1</v>
      </c>
      <c r="L12" s="1">
        <f>Data!L12</f>
        <v>-1</v>
      </c>
      <c r="M12" s="1">
        <f>Data!M12</f>
        <v>-1</v>
      </c>
      <c r="N12" s="1">
        <f>Data!N12</f>
        <v>-1</v>
      </c>
      <c r="O12" s="1">
        <f>Data!O12</f>
        <v>-1</v>
      </c>
      <c r="P12" s="1">
        <f>Data!P12</f>
        <v>-1</v>
      </c>
      <c r="Q12" s="1">
        <f>Data!Q12</f>
        <v>-1</v>
      </c>
      <c r="R12" s="1">
        <f>Data!R12</f>
        <v>-1</v>
      </c>
      <c r="S12" s="1">
        <f>Data!S12</f>
        <v>-1</v>
      </c>
      <c r="T12" s="1">
        <f>Data!T12</f>
        <v>-1</v>
      </c>
      <c r="U12" s="1">
        <f>Data!U12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Data!G13</f>
        <v>-1</v>
      </c>
      <c r="H13" s="1">
        <f>Data!H13</f>
        <v>-1</v>
      </c>
      <c r="I13" s="1">
        <f>Data!I13</f>
        <v>-1</v>
      </c>
      <c r="J13" s="1">
        <f>Data!J13</f>
        <v>-1</v>
      </c>
      <c r="K13" s="1">
        <f>Data!K13</f>
        <v>-1</v>
      </c>
      <c r="L13" s="1">
        <f>Data!L13</f>
        <v>-1</v>
      </c>
      <c r="M13" s="1">
        <f>Data!M13</f>
        <v>-1</v>
      </c>
      <c r="N13" s="1">
        <f>Data!N13</f>
        <v>-1</v>
      </c>
      <c r="O13" s="1">
        <f>Data!O13</f>
        <v>-1</v>
      </c>
      <c r="P13" s="1">
        <f>Data!P13</f>
        <v>-1</v>
      </c>
      <c r="Q13" s="1">
        <f>Data!Q13</f>
        <v>-1</v>
      </c>
      <c r="R13" s="1">
        <f>Data!R13</f>
        <v>-1</v>
      </c>
      <c r="S13" s="1">
        <f>Data!S13</f>
        <v>-1</v>
      </c>
      <c r="T13" s="1">
        <f>Data!T13</f>
        <v>-1</v>
      </c>
      <c r="U13" s="1">
        <f>Data!U13</f>
        <v>-1</v>
      </c>
      <c r="V13" t="str">
        <f>Data!V13</f>
        <v>NA</v>
      </c>
    </row>
    <row r="14" spans="1:22" x14ac:dyDescent="0.25">
      <c r="D14" s="2"/>
      <c r="E14" s="2"/>
      <c r="F14" s="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25">
      <c r="D15" s="2"/>
      <c r="E15" s="2"/>
      <c r="F15" s="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25">
      <c r="D16" s="2"/>
      <c r="E16" s="2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x14ac:dyDescent="0.25">
      <c r="D17" s="2"/>
      <c r="E17" s="2"/>
      <c r="F17" s="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9" spans="1:21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1" x14ac:dyDescent="0.25">
      <c r="D20" cm="1">
        <f t="array" ref="D20:H30">_xlfn.SORTBY(D3:H13,F3:F13,1,D3:D13,1,E3:E13,1)</f>
        <v>-1</v>
      </c>
      <c r="E20">
        <v>-1</v>
      </c>
      <c r="F20">
        <v>361</v>
      </c>
      <c r="G20" s="1">
        <v>-1</v>
      </c>
      <c r="H20" s="1">
        <v>-1</v>
      </c>
    </row>
    <row r="21" spans="1:21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1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1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1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1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1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1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1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1" x14ac:dyDescent="0.25">
      <c r="D29">
        <v>-1</v>
      </c>
      <c r="E29">
        <v>-1</v>
      </c>
      <c r="F29">
        <v>361</v>
      </c>
      <c r="G29" s="1">
        <v>-1</v>
      </c>
      <c r="H29" s="1">
        <v>-1</v>
      </c>
    </row>
    <row r="30" spans="1:21" x14ac:dyDescent="0.25">
      <c r="D30">
        <v>-1</v>
      </c>
      <c r="E30">
        <v>-1</v>
      </c>
      <c r="F30">
        <v>361</v>
      </c>
      <c r="G30" s="1">
        <v>-1</v>
      </c>
      <c r="H30" s="1">
        <v>-1</v>
      </c>
    </row>
    <row r="31" spans="1:21" x14ac:dyDescent="0.25">
      <c r="G31" s="1"/>
      <c r="H31" s="1"/>
    </row>
    <row r="32" spans="1:21" x14ac:dyDescent="0.25">
      <c r="G32" s="1"/>
      <c r="H32" s="1"/>
    </row>
    <row r="33" spans="4:8" x14ac:dyDescent="0.25">
      <c r="G33" s="1"/>
      <c r="H33" s="1"/>
    </row>
    <row r="34" spans="4:8" x14ac:dyDescent="0.25">
      <c r="G34" s="1"/>
      <c r="H34" s="1"/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R12" sqref="R12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112</v>
      </c>
      <c r="N6" s="34" t="s">
        <v>113</v>
      </c>
      <c r="O6" s="34" t="s">
        <v>114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111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7" t="s">
        <v>83</v>
      </c>
      <c r="P12" s="47"/>
      <c r="Q12" s="13" t="s">
        <v>79</v>
      </c>
      <c r="R12" s="4">
        <f>MAX(R14:R16)</f>
        <v>0</v>
      </c>
      <c r="S12" t="s">
        <v>115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16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Q14:Q16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16" si="5">IF(D15="","",-D15)</f>
        <v/>
      </c>
      <c r="G15" s="1" t="str">
        <f t="shared" ref="G15:G16" si="6">IF(E15="","",-E15)</f>
        <v/>
      </c>
      <c r="H15" s="1" t="e">
        <f t="shared" ref="H15:H16" si="7">F$14-F15</f>
        <v>#VALUE!</v>
      </c>
      <c r="I15" s="1" t="e">
        <f t="shared" ref="I15:I16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16" si="9">L$14*COS(C15*PI()/180)+M$14*SIN(C15*PI()/180)</f>
        <v>-1.0173001015936742</v>
      </c>
      <c r="M15" s="6">
        <f t="shared" ref="M15:M16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D17" s="1"/>
      <c r="E17" s="1"/>
      <c r="F17" s="1"/>
      <c r="G17" s="1"/>
      <c r="H17" s="1"/>
      <c r="I17" s="1"/>
      <c r="J17" s="1"/>
      <c r="K17" s="1"/>
      <c r="L17" s="7"/>
      <c r="M17" s="8"/>
      <c r="P17" s="7"/>
      <c r="Q17" s="8"/>
      <c r="R17" s="12" t="str">
        <f t="shared" si="11"/>
        <v/>
      </c>
      <c r="U17" s="1"/>
    </row>
    <row r="18" spans="1:21" x14ac:dyDescent="0.25">
      <c r="D18" s="1"/>
      <c r="E18" s="1"/>
      <c r="F18" s="1"/>
      <c r="G18" s="1"/>
      <c r="H18" s="1"/>
      <c r="I18" s="1"/>
      <c r="J18" s="1"/>
      <c r="K18" s="1"/>
      <c r="L18" s="7"/>
      <c r="M18" s="8"/>
      <c r="P18" s="7"/>
      <c r="Q18" s="8"/>
      <c r="R18" s="12" t="str">
        <f t="shared" si="11"/>
        <v/>
      </c>
      <c r="U18" s="1"/>
    </row>
    <row r="19" spans="1:21" x14ac:dyDescent="0.25">
      <c r="D19" s="1"/>
      <c r="E19" s="1"/>
      <c r="F19" s="1"/>
      <c r="G19" s="1"/>
      <c r="H19" s="1"/>
      <c r="I19" s="1"/>
      <c r="J19" s="1"/>
      <c r="K19" s="1"/>
      <c r="L19" s="7"/>
      <c r="M19" s="8"/>
      <c r="P19" s="7"/>
      <c r="Q19" s="8"/>
      <c r="R19" s="12" t="str">
        <f t="shared" si="11"/>
        <v/>
      </c>
      <c r="U19" s="1"/>
    </row>
    <row r="20" spans="1:21" ht="15.75" thickBot="1" x14ac:dyDescent="0.3">
      <c r="D20" s="1"/>
      <c r="E20" s="1"/>
      <c r="F20" s="1"/>
      <c r="G20" s="1"/>
      <c r="H20" s="1"/>
      <c r="I20" s="1"/>
      <c r="J20" s="1"/>
      <c r="K20" s="1"/>
      <c r="L20" s="9"/>
      <c r="M20" s="10"/>
      <c r="P20" s="9"/>
      <c r="Q20" s="10"/>
      <c r="R20" s="12" t="str">
        <f t="shared" si="11"/>
        <v/>
      </c>
      <c r="U20" s="1"/>
    </row>
    <row r="21" spans="1:21" x14ac:dyDescent="0.25">
      <c r="L21" s="43" t="s">
        <v>80</v>
      </c>
      <c r="M21" s="44"/>
      <c r="P21" s="43" t="s">
        <v>81</v>
      </c>
      <c r="Q21" s="44"/>
      <c r="R21" s="43" t="s">
        <v>82</v>
      </c>
      <c r="S21" s="44"/>
    </row>
    <row r="22" spans="1:21" ht="15.75" thickBot="1" x14ac:dyDescent="0.3">
      <c r="A22" t="str">
        <f>Data!A19</f>
        <v>ballCBCT</v>
      </c>
      <c r="L22" s="45"/>
      <c r="M22" s="46"/>
      <c r="P22" s="45"/>
      <c r="Q22" s="46"/>
      <c r="R22" s="45"/>
      <c r="S22" s="46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D4" sqref="D4:E6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8" t="s">
        <v>119</v>
      </c>
      <c r="I2" s="48"/>
      <c r="J2" s="48"/>
      <c r="K2" s="48"/>
      <c r="L2" s="35">
        <f>MAX(L4:L6)</f>
        <v>0</v>
      </c>
      <c r="M2" t="s">
        <v>120</v>
      </c>
    </row>
    <row r="3" spans="1:13" x14ac:dyDescent="0.25">
      <c r="A3" t="s">
        <v>107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116</v>
      </c>
      <c r="K3" s="22" t="s">
        <v>117</v>
      </c>
      <c r="L3" s="22" t="s">
        <v>118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J4" sqref="J4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123</v>
      </c>
    </row>
    <row r="12" spans="3:6" x14ac:dyDescent="0.25">
      <c r="D12">
        <v>6</v>
      </c>
      <c r="E12" t="s">
        <v>124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121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125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2025-02-24T22:25:00Z</dcterms:modified>
</cp:coreProperties>
</file>